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dmin\OneDrive\Desktop\Group07_SoftwareTesting_Gmail\individual_docs\"/>
    </mc:Choice>
  </mc:AlternateContent>
  <xr:revisionPtr revIDLastSave="0" documentId="8_{DDDE9DF1-1989-4616-8B5C-37970114F98B}" xr6:coauthVersionLast="36" xr6:coauthVersionMax="36" xr10:uidLastSave="{00000000-0000-0000-0000-000000000000}"/>
  <bookViews>
    <workbookView xWindow="0" yWindow="0" windowWidth="14380" windowHeight="3980" tabRatio="500" xr2:uid="{00000000-000D-0000-FFFF-FFFF00000000}"/>
  </bookViews>
  <sheets>
    <sheet name="Cover" sheetId="1" r:id="rId1"/>
    <sheet name="Test case List" sheetId="2" r:id="rId2"/>
    <sheet name="TestDesign" sheetId="3" r:id="rId3"/>
    <sheet name="Khung soạn thư" sheetId="4" r:id="rId4"/>
    <sheet name="Gửi thư" sheetId="5" r:id="rId5"/>
    <sheet name="Gửi thư lỗi" sheetId="6" r:id="rId6"/>
    <sheet name="Đính kèm và định dạng" sheetId="7" r:id="rId7"/>
    <sheet name="Thư nháp" sheetId="8" r:id="rId8"/>
    <sheet name="Test Report" sheetId="9" r:id="rId9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5" i="9" l="1"/>
  <c r="C14" i="9"/>
  <c r="C13" i="9"/>
  <c r="C12" i="9"/>
  <c r="C11" i="9"/>
  <c r="C4" i="9"/>
  <c r="C5" i="9" s="1"/>
  <c r="C3" i="9"/>
  <c r="A16" i="8"/>
  <c r="A15" i="8"/>
  <c r="A14" i="8"/>
  <c r="A13" i="8"/>
  <c r="A12" i="8"/>
  <c r="A11" i="8"/>
  <c r="A10" i="8"/>
  <c r="A9" i="8"/>
  <c r="F6" i="8"/>
  <c r="I15" i="9" s="1"/>
  <c r="E6" i="8"/>
  <c r="H15" i="9" s="1"/>
  <c r="D6" i="8"/>
  <c r="G15" i="9" s="1"/>
  <c r="B6" i="8"/>
  <c r="E15" i="9" s="1"/>
  <c r="A6" i="8"/>
  <c r="D15" i="9" s="1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F6" i="7" s="1"/>
  <c r="E6" i="7"/>
  <c r="H14" i="9" s="1"/>
  <c r="D6" i="7"/>
  <c r="G14" i="9" s="1"/>
  <c r="B6" i="7"/>
  <c r="E14" i="9" s="1"/>
  <c r="A6" i="7"/>
  <c r="D14" i="9" s="1"/>
  <c r="A18" i="6"/>
  <c r="A17" i="6"/>
  <c r="A16" i="6"/>
  <c r="A15" i="6"/>
  <c r="A14" i="6"/>
  <c r="A13" i="6"/>
  <c r="A12" i="6"/>
  <c r="A11" i="6"/>
  <c r="A10" i="6"/>
  <c r="A9" i="6"/>
  <c r="F6" i="6" s="1"/>
  <c r="E6" i="6"/>
  <c r="H13" i="9" s="1"/>
  <c r="D6" i="6"/>
  <c r="G13" i="9" s="1"/>
  <c r="B6" i="6"/>
  <c r="E13" i="9" s="1"/>
  <c r="A6" i="6"/>
  <c r="D13" i="9" s="1"/>
  <c r="A14" i="5"/>
  <c r="A13" i="5"/>
  <c r="A12" i="5"/>
  <c r="A11" i="5"/>
  <c r="A10" i="5"/>
  <c r="F6" i="5" s="1"/>
  <c r="A9" i="5"/>
  <c r="E6" i="5"/>
  <c r="H12" i="9" s="1"/>
  <c r="D6" i="5"/>
  <c r="G12" i="9" s="1"/>
  <c r="B6" i="5"/>
  <c r="E12" i="9" s="1"/>
  <c r="A6" i="5"/>
  <c r="D12" i="9" s="1"/>
  <c r="A14" i="4"/>
  <c r="A13" i="4"/>
  <c r="A12" i="4"/>
  <c r="A11" i="4"/>
  <c r="A10" i="4"/>
  <c r="F6" i="4" s="1"/>
  <c r="A9" i="4"/>
  <c r="E6" i="4"/>
  <c r="H11" i="9" s="1"/>
  <c r="D6" i="4"/>
  <c r="G11" i="9" s="1"/>
  <c r="B6" i="4"/>
  <c r="E11" i="9" s="1"/>
  <c r="A6" i="4"/>
  <c r="D11" i="9" s="1"/>
  <c r="D4" i="2"/>
  <c r="D3" i="2"/>
  <c r="C6" i="1"/>
  <c r="H17" i="9" l="1"/>
  <c r="G17" i="9"/>
  <c r="I11" i="9"/>
  <c r="C6" i="4"/>
  <c r="F11" i="9" s="1"/>
  <c r="I14" i="9"/>
  <c r="C6" i="7"/>
  <c r="F14" i="9" s="1"/>
  <c r="I13" i="9"/>
  <c r="C6" i="6"/>
  <c r="F13" i="9" s="1"/>
  <c r="C6" i="5"/>
  <c r="F12" i="9" s="1"/>
  <c r="I12" i="9"/>
  <c r="D17" i="9"/>
  <c r="E17" i="9"/>
  <c r="C6" i="8"/>
  <c r="F15" i="9" s="1"/>
  <c r="F17" i="9" l="1"/>
  <c r="I17" i="9"/>
  <c r="E20" i="9"/>
  <c r="E19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3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4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5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6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8" authorId="0" shapeId="0" xr:uid="{00000000-0006-0000-0700-000001000000}">
      <text>
        <r>
          <rPr>
            <sz val="10"/>
            <rFont val="Arial"/>
            <family val="2"/>
          </rPr>
          <t>======
ID#AAAAHWfBFzM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<sst xmlns="http://schemas.openxmlformats.org/spreadsheetml/2006/main" count="564" uniqueCount="256">
  <si>
    <t>TEST CASE</t>
  </si>
  <si>
    <t>Project Name</t>
  </si>
  <si>
    <t>Gmail</t>
  </si>
  <si>
    <t>Creator</t>
  </si>
  <si>
    <t>Nguyễn Khoa Đăng</t>
  </si>
  <si>
    <t>Project Code</t>
  </si>
  <si>
    <t>GMAIL</t>
  </si>
  <si>
    <t>Reviewer/Approver</t>
  </si>
  <si>
    <t>(chưa review)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</si>
  <si>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</si>
  <si>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</si>
  <si>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</si>
  <si>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</si>
  <si>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</si>
  <si>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</si>
  <si>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</si>
  <si>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</si>
  <si>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</si>
  <si>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A</t>
  </si>
  <si>
    <t>Tạo test case chức năng 4: Compose &amp; Send Email</t>
  </si>
  <si>
    <t>12_chức_năng_cơ_bản_gmail.docx</t>
  </si>
  <si>
    <t>TEST CASE LIST</t>
  </si>
  <si>
    <t>Test Environment Setup Description</t>
  </si>
  <si>
    <t>1. Hệ điều hành: Windows 10/11
2. Trình duyệt: Google Chrome bản mới nhất
3. Gmail web (mail.google.com), giao diện tiếng Anh
4. Tài khoản test: A (người gửi), B, C, D (người nhận)
5. Kết nối Internet ổn định</t>
  </si>
  <si>
    <t>No</t>
  </si>
  <si>
    <t>Function Name</t>
  </si>
  <si>
    <t>Sheet Name</t>
  </si>
  <si>
    <t>Description</t>
  </si>
  <si>
    <t>Pre-Condition</t>
  </si>
  <si>
    <t>Khung soạn thư</t>
  </si>
  <si>
    <t>Mở, thu nhỏ, phóng to, đóng khung soạn thư</t>
  </si>
  <si>
    <t>Đã đăng nhập tài khoản A</t>
  </si>
  <si>
    <t>Gửi thư thành công</t>
  </si>
  <si>
    <t>Gửi thư</t>
  </si>
  <si>
    <t>Gửi thư cơ bản, CC, BCC, nhiều người nhận; xác nhận trong Sent</t>
  </si>
  <si>
    <t>Đã đăng nhập tài khoản A; có tài khoản B, C, D</t>
  </si>
  <si>
    <t>Gửi thư lỗi</t>
  </si>
  <si>
    <t>Gửi thư với người nhận sai/thiếu, thiếu Subject và nội dung</t>
  </si>
  <si>
    <t>Đã đăng nhập tài khoản A; có tài khoản B</t>
  </si>
  <si>
    <t>Đính kèm và định dạng</t>
  </si>
  <si>
    <t>Đính kèm tệp từ máy tính, gỡ tệp, giới hạn 25MB; thanh định dạng chữ</t>
  </si>
  <si>
    <t>Đã đăng nhập tài khoản A; có sẵn các tệp test</t>
  </si>
  <si>
    <t>Thư nháp</t>
  </si>
  <si>
    <t>Tự lưu nháp, mở lại, sửa, gửi và xóa thư nháp</t>
  </si>
  <si>
    <t>Requirement Level 1</t>
  </si>
  <si>
    <t>Requirement Level 2</t>
  </si>
  <si>
    <t>Requirement Level 3</t>
  </si>
  <si>
    <t>Test Criteria</t>
  </si>
  <si>
    <t>Test Type</t>
  </si>
  <si>
    <t>Note</t>
  </si>
  <si>
    <t>4. Compose &amp; Send Email</t>
  </si>
  <si>
    <t>4.1 Khung soạn thư</t>
  </si>
  <si>
    <t>Displaying</t>
  </si>
  <si>
    <t>Mở khung soạn thư</t>
  </si>
  <si>
    <t>Function</t>
  </si>
  <si>
    <t>Giao diện khung soạn</t>
  </si>
  <si>
    <t>GUI</t>
  </si>
  <si>
    <t>Resize</t>
  </si>
  <si>
    <t>Thu nhỏ khung</t>
  </si>
  <si>
    <t>Phóng to toàn màn hình</t>
  </si>
  <si>
    <t>Thu về cỡ thường</t>
  </si>
  <si>
    <t>Close</t>
  </si>
  <si>
    <t>Đóng khung trống</t>
  </si>
  <si>
    <t>4.2 Gửi thư thành công</t>
  </si>
  <si>
    <t>Gửi cơ bản</t>
  </si>
  <si>
    <t>Gửi thư cơ bản</t>
  </si>
  <si>
    <t>Nhiều người nhận</t>
  </si>
  <si>
    <t>Gửi kèm CC</t>
  </si>
  <si>
    <t>Gửi kèm BCC</t>
  </si>
  <si>
    <t>Gửi nhiều người nhận</t>
  </si>
  <si>
    <t>Gửi đủ To, CC, BCC</t>
  </si>
  <si>
    <t>Kết quả</t>
  </si>
  <si>
    <t>Thư có trong Sent</t>
  </si>
  <si>
    <t>4.3 Gửi thư lỗi</t>
  </si>
  <si>
    <t>Người nhận</t>
  </si>
  <si>
    <t>Bỏ trống người nhận</t>
  </si>
  <si>
    <t>Đối chiếu nội dung thông báo thực tế của Gmail</t>
  </si>
  <si>
    <t>Email sai định dạng - To</t>
  </si>
  <si>
    <t>Email thiếu @</t>
  </si>
  <si>
    <t>Email sai định dạng - CC</t>
  </si>
  <si>
    <t>Email sai định dạng - BCC</t>
  </si>
  <si>
    <t>Hợp lệ lẫn sai định dạng</t>
  </si>
  <si>
    <t>Không Subject và nội dung</t>
  </si>
  <si>
    <t>Thiếu Subject và nội dung</t>
  </si>
  <si>
    <t>Đối chiếu nội dung hộp thoại thực tế</t>
  </si>
  <si>
    <t>Cảnh báo - chọn Send anyway</t>
  </si>
  <si>
    <t>Cảnh báo - chọn Cancel</t>
  </si>
  <si>
    <t>Thiếu Subject, có nội dung</t>
  </si>
  <si>
    <t>5. Đính kèm và định dạng</t>
  </si>
  <si>
    <t>5.1 Đính kèm tệp</t>
  </si>
  <si>
    <t>Đính kèm ảnh</t>
  </si>
  <si>
    <t>Automation: sendKeys đường dẫn tệp vào input type=file</t>
  </si>
  <si>
    <t>Đính kèm PDF</t>
  </si>
  <si>
    <t>Đính kèm DOCX</t>
  </si>
  <si>
    <t>Đính kèm TXT</t>
  </si>
  <si>
    <t>Đính kèm nhiều tệp</t>
  </si>
  <si>
    <t>Tên và dung lượng tệp</t>
  </si>
  <si>
    <t>Gỡ tệp đính kèm</t>
  </si>
  <si>
    <t>Gửi thư kèm tệp</t>
  </si>
  <si>
    <t>Tệp vượt 25MB</t>
  </si>
  <si>
    <t>Đối chiếu thực tế: Gmail có thể đề nghị gửi qua Google Drive</t>
  </si>
  <si>
    <t>5.2 Định dạng văn bản</t>
  </si>
  <si>
    <t>In đậm</t>
  </si>
  <si>
    <t>In nghiêng</t>
  </si>
  <si>
    <t>Gạch chân</t>
  </si>
  <si>
    <t>Màu chữ</t>
  </si>
  <si>
    <t>Căn lề</t>
  </si>
  <si>
    <t>Danh sách</t>
  </si>
  <si>
    <t>Gửi thư có định dạng</t>
  </si>
  <si>
    <t>6. Thư nháp</t>
  </si>
  <si>
    <t>6.1 Lưu nháp</t>
  </si>
  <si>
    <t>Tự lưu nháp</t>
  </si>
  <si>
    <t>Đóng khung lưu nháp</t>
  </si>
  <si>
    <t>Nháp chỉ có Subject</t>
  </si>
  <si>
    <t>Nháp kèm tệp</t>
  </si>
  <si>
    <t>6.2 Sửa và gửi</t>
  </si>
  <si>
    <t>Mở lại thư nháp</t>
  </si>
  <si>
    <t>Sửa nội dung nháp</t>
  </si>
  <si>
    <t>Gửi thư từ nháp</t>
  </si>
  <si>
    <t>6.3 Xóa nháp</t>
  </si>
  <si>
    <t>Xóa nháp</t>
  </si>
  <si>
    <t>Module Code</t>
  </si>
  <si>
    <t>ComposeWindow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</si>
  <si>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</si>
  <si>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</si>
  <si>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</si>
  <si>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</si>
  <si>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</si>
  <si>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</si>
  <si>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</si>
  <si>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</si>
  <si>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</si>
  <si>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</si>
  <si>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</si>
  <si>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</si>
  <si>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</si>
  <si>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</si>
  <si>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</si>
  <si>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Pre-condition:
+ Đã đăng nhập Gmail bằng tài khoản A, đang ở Inbox
Step:
1. Click [Compose]</t>
  </si>
  <si>
    <t>1. Khung "New Message" hiển thị ở góc dưới bên phải
   - Con trỏ nằm ở ô To
   - Các ô To, Subject và nội dung đều trống</t>
  </si>
  <si>
    <t>Đăng nhập tài khoản A</t>
  </si>
  <si>
    <t>1. Click [Compose]
2. Quan sát khung soạn thư</t>
  </si>
  <si>
    <t>2. Hiển thị đủ: ô To, link [Cc] [Bcc], ô Subject, vùng nội dung, thanh định dạng, nút [Send], nút [Minimize] [Full-screen] [Close]
   - Bố cục không bị vỡ</t>
  </si>
  <si>
    <t>Pre-condition:
+ Khung soạn thư đang mở, đã nhập To, Subject và nội dung
Step:
1. Click [Minimize]
2. Click vào thanh tiêu đề "New Message"</t>
  </si>
  <si>
    <t>1. Khung thu gọn thành thanh tiêu đề ở cuối trang
2. Khung mở lại như cũ
   - To, Subject, nội dung vẫn giữ nguyên</t>
  </si>
  <si>
    <t>[ComposeWindow-1]</t>
  </si>
  <si>
    <t>Pre-condition:
+ Khung soạn thư đang mở, đã nhập To, Subject và nội dung
Step:
1. Click [Full-screen]</t>
  </si>
  <si>
    <t>1. Khung phóng to chiếm gần toàn màn hình
   - Nội dung đã nhập vẫn giữ nguyên
   - Vẫn nhập và chỉnh sửa được các trường</t>
  </si>
  <si>
    <t>1. Từ chế độ toàn màn hình, click [Exit full screen]</t>
  </si>
  <si>
    <t>1. Khung trở về cỡ nhỏ ở góc dưới bên phải
   - Nội dung giữ nguyên</t>
  </si>
  <si>
    <t>[ComposeWindow-4]</t>
  </si>
  <si>
    <t>1. Click [Compose]
2. Không nhập gì, click [Close] (X)
3. Vào mục [Drafts]</t>
  </si>
  <si>
    <t>2. Khung đóng, không có cảnh báo
3. Không có thư nháp mới</t>
  </si>
  <si>
    <t>SendEmail</t>
  </si>
  <si>
    <t>Pre-condition:
+ Đã đăng nhập Gmail bằng tài khoản A (người gửi)
+ Tài khoản B, C, D là địa chỉ Gmail hợp lệ (người nhận)
Step:
1. Click [Compose]
2. Nhập To = tài khoản B
3. Nhập Subject = "Test gui thu co ban"
4. Nhập nội dung = "Noi dung test"
5. Click [Send]</t>
  </si>
  <si>
    <t>5. Khung soạn thư đóng
   - Thông báo "Message sent" hiển thị
   - Tài khoản B nhận thư đúng Subject, nội dung; người gửi là A</t>
  </si>
  <si>
    <t>Pre-condition:
+ Đã đăng nhập Gmail bằng tài khoản A (người gửi)
+ Tài khoản B, C, D là địa chỉ Gmail hợp lệ (người nhận)
Step:
1. Click [Compose]
2. Nhập To = B
3. Click [Cc], nhập Cc = C
4. Nhập Subject và nội dung
5. Click [Send]</t>
  </si>
  <si>
    <t>5. Thông báo "Message sent" hiển thị
   - B và C đều nhận thư
   - Thư hiển thị To = B, Cc = C</t>
  </si>
  <si>
    <t>Pre-condition:
+ Đã đăng nhập Gmail bằng tài khoản A (người gửi)
+ Tài khoản B, C, D là địa chỉ Gmail hợp lệ (người nhận)
Step:
1. Click [Compose]
2. Nhập To = B
3. Click [Bcc], nhập Bcc = D
4. Nhập Subject và nội dung
5. Click [Send]</t>
  </si>
  <si>
    <t>5. Thông báo "Message sent" hiển thị
   - B và D đều nhận thư
   - Thư của B không hiển thị địa chỉ D</t>
  </si>
  <si>
    <t>Pre-condition:
+ Đã đăng nhập Gmail bằng tài khoản A (người gửi)
+ Tài khoản B, C, D là địa chỉ Gmail hợp lệ (người nhận)
Step:
1. Click [Compose]
2. Nhập To = B, C, D (ngăn cách bằng dấu phẩy hoặc Enter)
3. Nhập Subject và nội dung
4. Click [Send]</t>
  </si>
  <si>
    <t>2. Mỗi địa chỉ hiển thị thành một ô riêng
4. Thông báo "Message sent" hiển thị
   - B, C, D đều nhận thư</t>
  </si>
  <si>
    <t>Pre-condition:
+ Đã đăng nhập Gmail bằng tài khoản A (người gửi)
+ Tài khoản B, C, D là địa chỉ Gmail hợp lệ (người nhận)
Step:
1. Click [Compose]
2. Nhập To = B, Cc = C, Bcc = D
3. Nhập Subject và nội dung
4. Click [Send]</t>
  </si>
  <si>
    <t>4. Thông báo "Message sent" hiển thị
   - B, C, D đều nhận thư
   - B và C không thấy địa chỉ D</t>
  </si>
  <si>
    <t>1. Click mục [Sent] ở menu bên trái
2. Mở thư đầu tiên trong danh sách</t>
  </si>
  <si>
    <t>1. Thư vừa gửi nằm đầu danh sách mục Sent
2. Hiển thị đúng người nhận, Subject, nội dung và thời gian gửi</t>
  </si>
  <si>
    <t>[SendEmail-1]</t>
  </si>
  <si>
    <t>SendNegative</t>
  </si>
  <si>
    <t>Pre-condition:
+ Đã đăng nhập Gmail bằng tài khoản A (người gửi)
+ Tài khoản B, C, D là địa chỉ Gmail hợp lệ (người nhận)
Step:
1. Click [Compose]
2. Để trống To, nhập Subject và nội dung
3. Click [Send]</t>
  </si>
  <si>
    <t>3. Thư không được gửi
   - Hiển thị thông báo yêu cầu nhập ít nhất một người nhận
   - Khung soạn thư vẫn mở, nội dung giữ nguyên</t>
  </si>
  <si>
    <t>Pre-condition:
+ Đã đăng nhập Gmail bằng tài khoản A (người gửi)
+ Tài khoản B, C, D là địa chỉ Gmail hợp lệ (người nhận)
Step:
1. Click [Compose]
2. Nhập To = abc@gmail..com
3. Nhập Subject và nội dung
4. Click [Send]</t>
  </si>
  <si>
    <t>4. Thư không được gửi
   - Hiển thị cảnh báo địa chỉ "abc@gmail..com" không hợp lệ
   - Khung soạn thư vẫn mở</t>
  </si>
  <si>
    <t>Pre-condition:
+ Đã đăng nhập Gmail bằng tài khoản A (người gửi)
+ Tài khoản B, C, D là địa chỉ Gmail hợp lệ (người nhận)
Step:
1. Click [Compose]
2. Nhập To = abc.gmail.com
3. Nhập Subject và nội dung
4. Click [Send]</t>
  </si>
  <si>
    <t>4. Thư không được gửi
   - Hiển thị cảnh báo địa chỉ không hợp lệ
   - Khung soạn thư vẫn mở</t>
  </si>
  <si>
    <t>Pre-condition:
+ Đã đăng nhập Gmail bằng tài khoản A (người gửi)
+ Tài khoản B, C, D là địa chỉ Gmail hợp lệ (người nhận)
Step:
1. Click [Compose]
2. Nhập To = B (hợp lệ)
3. Click [Cc], nhập Cc = abc@gmail..com
4. Nhập Subject và nội dung
5. Click [Send]</t>
  </si>
  <si>
    <t>5. Thư không được gửi
   - Hiển thị cảnh báo địa chỉ Cc không hợp lệ
   - B không nhận thư</t>
  </si>
  <si>
    <t>Pre-condition:
+ Đã đăng nhập Gmail bằng tài khoản A (người gửi)
+ Tài khoản B, C, D là địa chỉ Gmail hợp lệ (người nhận)
Step:
1. Click [Compose]
2. Nhập To = B (hợp lệ)
3. Click [Bcc], nhập Bcc = abc@gmail..com
4. Nhập Subject và nội dung
5. Click [Send]</t>
  </si>
  <si>
    <t>5. Thư không được gửi
   - Hiển thị cảnh báo địa chỉ Bcc không hợp lệ
   - B không nhận thư</t>
  </si>
  <si>
    <t>Pre-condition:
+ Đã đăng nhập Gmail bằng tài khoản A (người gửi)
+ Tài khoản B, C, D là địa chỉ Gmail hợp lệ (người nhận)
Step:
1. Click [Compose]
2. Nhập To = B, abc@gmail..com
3. Nhập Subject và nội dung
4. Click [Send]</t>
  </si>
  <si>
    <t>4. Thư không được gửi cho ai
   - Hiển thị cảnh báo địa chỉ không hợp lệ
   - B không nhận thư</t>
  </si>
  <si>
    <t>Pre-condition:
+ Đã đăng nhập Gmail bằng tài khoản A (người gửi)
+ Tài khoản B, C, D là địa chỉ Gmail hợp lệ (người nhận)
Step:
1. Click [Compose]
2. Nhập To = B, để trống Subject và nội dung
3. Click [Send]</t>
  </si>
  <si>
    <t>3. Hộp thoại cảnh báo gửi thư không có tiêu đề và nội dung hiển thị
   - Có 2 nút: [Send anyway] và [Cancel]</t>
  </si>
  <si>
    <t>1. Tại hộp thoại cảnh báo, click [Send anyway]</t>
  </si>
  <si>
    <t>1. Hộp thoại đóng, thư được gửi
   - Thông báo "Message sent" hiển thị
   - B nhận thư không có tiêu đề (no subject)
   - Thư có trong mục Sent</t>
  </si>
  <si>
    <t>[SendNegative-7]</t>
  </si>
  <si>
    <t>1. Tại hộp thoại cảnh báo, click [Cancel]</t>
  </si>
  <si>
    <t>1. Hộp thoại đóng, khung soạn thư vẫn mở
   - Thư không được gửi
   - B không nhận thư</t>
  </si>
  <si>
    <t>Pre-condition:
+ Đã đăng nhập Gmail bằng tài khoản A (người gửi)
+ Tài khoản B, C, D là địa chỉ Gmail hợp lệ (người nhận)
Step:
1. Click [Compose]
2. Nhập To = B, nhập nội dung, để trống Subject
3. Click [Send]</t>
  </si>
  <si>
    <t>3. Hộp thoại cảnh báo gửi thư không có tiêu đề hiển thị
   - Chọn [Cancel] thì thư không được gửi</t>
  </si>
  <si>
    <t>Attachment</t>
  </si>
  <si>
    <t>Pre-condition:
+ Đã đăng nhập Gmail bằng tài khoản A
+ Có sẵn tệp test: anh.jpg (&lt;1MB), tai-lieu.pdf, tai-lieu.docx, ghi-chu.txt, tep-lon.zip (&gt;25MB)
Step:
1. Click [Compose]
2. Click [Attach files] (biểu tượng kẹp giấy)
3. Chọn tệp anh.jpg</t>
  </si>
  <si>
    <t>3. Tệp anh.jpg được tải lên
   - Hiển thị tên tệp và dung lượng bên dưới nội dung thư</t>
  </si>
  <si>
    <t>Pre-condition:
+ Đã đăng nhập Gmail bằng tài khoản A
+ Có sẵn tệp test: anh.jpg (&lt;1MB), tai-lieu.pdf, tai-lieu.docx, ghi-chu.txt, tep-lon.zip (&gt;25MB)
Step:
1. Click [Compose]
2. Click [Attach files] (biểu tượng kẹp giấy)
3. Chọn tệp tai-lieu.pdf</t>
  </si>
  <si>
    <t>3. Tệp tai-lieu.pdf được tải lên
   - Hiển thị tên tệp và dung lượng bên dưới nội dung thư</t>
  </si>
  <si>
    <t>Pre-condition:
+ Đã đăng nhập Gmail bằng tài khoản A
+ Có sẵn tệp test: anh.jpg (&lt;1MB), tai-lieu.pdf, tai-lieu.docx, ghi-chu.txt, tep-lon.zip (&gt;25MB)
Step:
1. Click [Compose]
2. Click [Attach files] (biểu tượng kẹp giấy)
3. Chọn tệp tai-lieu.docx</t>
  </si>
  <si>
    <t>3. Tệp tai-lieu.docx được tải lên
   - Hiển thị tên tệp và dung lượng bên dưới nội dung thư</t>
  </si>
  <si>
    <t>Pre-condition:
+ Đã đăng nhập Gmail bằng tài khoản A
+ Có sẵn tệp test: anh.jpg (&lt;1MB), tai-lieu.pdf, tai-lieu.docx, ghi-chu.txt, tep-lon.zip (&gt;25MB)
Step:
1. Click [Compose]
2. Click [Attach files] (biểu tượng kẹp giấy)
3. Chọn tệp ghi-chu.txt</t>
  </si>
  <si>
    <t>3. Tệp ghi-chu.txt được tải lên
   - Hiển thị tên tệp và dung lượng bên dưới nội dung thư</t>
  </si>
  <si>
    <t>Pre-condition:
+ Đã đăng nhập Gmail bằng tài khoản A
+ Có sẵn tệp test: anh.jpg (&lt;1MB), tai-lieu.pdf, tai-lieu.docx, ghi-chu.txt, tep-lon.zip (&gt;25MB)
Step:
1. Click [Compose]
2. Click [Attach files]
3. Chọn cùng lúc anh.jpg, tai-lieu.pdf, ghi-chu.txt</t>
  </si>
  <si>
    <t>3. Cả 3 tệp được tải lên
   - Mỗi tệp hiển thị tên và dung lượng riêng</t>
  </si>
  <si>
    <t>Pre-condition:
+ Đã đăng nhập Gmail bằng tài khoản A
+ Có sẵn tệp test: anh.jpg (&lt;1MB), tai-lieu.pdf, tai-lieu.docx, ghi-chu.txt, tep-lon.zip (&gt;25MB)
Step:
1. Click [Compose]
2. Đính kèm tai-lieu.pdf
3. Đối chiếu tên và dung lượng hiển thị với tệp gốc</t>
  </si>
  <si>
    <t>3. Tên tệp đúng
   - Dung lượng hiển thị khớp với tệp gốc</t>
  </si>
  <si>
    <t>Pre-condition:
+ Đã đăng nhập Gmail bằng tài khoản A
+ Có sẵn tệp test: anh.jpg (&lt;1MB), tai-lieu.pdf, tai-lieu.docx, ghi-chu.txt, tep-lon.zip (&gt;25MB)
Step:
1. Click [Compose]
2. Nhập To = B, đính kèm anh.jpg
3. Click X cạnh tên tệp
4. Click [Send]</t>
  </si>
  <si>
    <t>3. Tệp biến mất khỏi khung soạn thư
4. Thư gửi thành công, B nhận thư không có tệp đính kèm</t>
  </si>
  <si>
    <t>Pre-condition:
+ Đã đăng nhập Gmail bằng tài khoản A
+ Có sẵn tệp test: anh.jpg (&lt;1MB), tai-lieu.pdf, tai-lieu.docx, ghi-chu.txt, tep-lon.zip (&gt;25MB)
Step:
1. Click [Compose]
2. Nhập To = B, Subject, nội dung
3. Đính kèm tai-lieu.pdf và anh.jpg
4. Click [Send]</t>
  </si>
  <si>
    <t>4. Thông báo "Message sent" hiển thị
   - B nhận thư kèm 2 tệp
   - Tải về mở được, nội dung tệp không đổi</t>
  </si>
  <si>
    <t>Pre-condition:
+ Đã đăng nhập Gmail bằng tài khoản A
+ Có sẵn tệp test: anh.jpg (&lt;1MB), tai-lieu.pdf, tai-lieu.docx, ghi-chu.txt, tep-lon.zip (&gt;25MB)
Step:
1. Click [Compose]
2. Click [Attach files]
3. Chọn tep-lon.zip</t>
  </si>
  <si>
    <t>3. Hiển thị thông báo tệp vượt giới hạn 25MB
   - Tệp không được đính kèm trực tiếp vào thư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</si>
  <si>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[Bold]</t>
  </si>
  <si>
    <t>3. Chữ được bôi đen hiển thị đậm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</si>
  <si>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[Italic]</t>
  </si>
  <si>
    <t>3. Chữ được bôi đen hiển thị nghiêng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</si>
  <si>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[Underline]</t>
  </si>
  <si>
    <t>3. Chữ được bôi đen hiển thị gạch chân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</si>
  <si>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[Text color], chọn màu đỏ</t>
  </si>
  <si>
    <t>3. Chữ được bôi đen đổi sang màu đỏ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</si>
  <si>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[Align], chọn căn giữa, phải, trái lần lượt</t>
  </si>
  <si>
    <t>3. Đoạn văn căn lề đúng theo từng lựa chọn</t>
  </si>
  <si>
    <t>Pre-condition:
+ Đã đăng nhập Gmail bằng tài khoản A
+ Có sẵn tệp test: anh.jpg (&lt;1MB), tai-lieu.pdf, tai-lieu.docx, ghi-chu.txt, tep-lon.zip (&gt;25MB)
Step:
1. Click [Compose]
2. Nhập nội dung "Noi dung test" và bôi đen
3. Click [Bulleted list], sau đó [Numbered list]</t>
  </si>
  <si>
    <t>3. Nội dung chuyển thành danh sách chấm tròn, sau đó danh sách đánh số</t>
  </si>
  <si>
    <t>Pre-condition:
+ Đã đăng nhập Gmail bằng tài khoản A
+ Có sẵn tệp test: anh.jpg (&lt;1MB), tai-lieu.pdf, tai-lieu.docx, ghi-chu.txt, tep-lon.zip (&gt;25MB)
Step:
1. Click [Compose]
2. Nhập To = B, Subject
3. Nhập nội dung, áp dụng in đậm, màu chữ và danh sách
4. Click [Send]</t>
  </si>
  <si>
    <t>4. Thông báo "Message sent" hiển thị
   - B nhận thư giữ nguyên các định dạng đã áp dụng</t>
  </si>
  <si>
    <t>Drafts</t>
  </si>
  <si>
    <t>Pre-condition:
+ Đã đăng nhập Gmail bằng tài khoản A
+ Tài khoản B là địa chỉ Gmail hợp lệ (người nhận)
Step:
1. Click [Compose]
2. Nhập Subject = "Test nhap" và nội dung
3. Chờ vài giây</t>
  </si>
  <si>
    <t>3. Chữ "Saved" hiển thị trên khung soạn thư</t>
  </si>
  <si>
    <t>Pre-condition:
+ Đã đăng nhập Gmail bằng tài khoản A
+ Tài khoản B là địa chỉ Gmail hợp lệ (người nhận)
Step:
1. Click [Compose], nhập To = B, Subject = "Test nhap", nội dung
2. Chờ hiển thị "Saved"
3. Click [Close]
4. Vào mục [Drafts]</t>
  </si>
  <si>
    <t>3. Khung đóng, không có cảnh báo
4. Thư nháp "Test nhap" có trong danh sách Drafts</t>
  </si>
  <si>
    <t>Pre-condition:
+ Đã đăng nhập Gmail bằng tài khoản A
+ Tài khoản B là địa chỉ Gmail hợp lệ (người nhận)
Step:
1. Click [Compose]
2. Chỉ nhập Subject = "Chi co tieu de"
3. Chờ "Saved", click [Close]
4. Vào mục [Drafts]</t>
  </si>
  <si>
    <t>4. Thư nháp "Chi co tieu de" có trong Drafts</t>
  </si>
  <si>
    <t>Pre-condition:
+ Đã đăng nhập Gmail bằng tài khoản A
+ Tài khoản B là địa chỉ Gmail hợp lệ (người nhận)
Step:
1. Click [Compose], nhập Subject
2. Đính kèm tai-lieu.pdf
3. Chờ "Saved", click [Close]
4. Mở thư nháp trong Drafts</t>
  </si>
  <si>
    <t>4. Thư nháp còn tệp tai-lieu.pdf đính kèm</t>
  </si>
  <si>
    <t>[Attachment-2]</t>
  </si>
  <si>
    <t>Pre-condition:
+ Đã đăng nhập Gmail bằng tài khoản A
+ Tài khoản B là địa chỉ Gmail hợp lệ (người nhận)
Step:
1. Vào mục [Drafts]
2. Click vào thư nháp "Test nhap"</t>
  </si>
  <si>
    <t>2. Khung soạn thư mở ra
   - To, Subject, nội dung đúng như đã lưu</t>
  </si>
  <si>
    <t>[Drafts-2]</t>
  </si>
  <si>
    <t>Pre-condition:
+ Đã đăng nhập Gmail bằng tài khoản A
+ Tài khoản B là địa chỉ Gmail hợp lệ (người nhận)
Step:
1. Mở thư nháp "Test nhap"
2. Sửa nội dung
3. Chờ "Saved", click [Close]
4. Mở lại thư nháp</t>
  </si>
  <si>
    <t>4. Nội dung nháp là nội dung đã sửa</t>
  </si>
  <si>
    <t>[Drafts-5]</t>
  </si>
  <si>
    <t>Pre-condition:
+ Đã đăng nhập Gmail bằng tài khoản A
+ Tài khoản B là địa chỉ Gmail hợp lệ (người nhận)
Step:
1. Mở thư nháp "Test nhap"
2. Nhập To = B
3. Click [Send]
4. Vào mục [Drafts]
5. Vào mục [Sent]</t>
  </si>
  <si>
    <t>3. Thông báo "Message sent" hiển thị; B nhận thư
4. Thư không còn trong Drafts
5. Thư có trong Sent</t>
  </si>
  <si>
    <t>Pre-condition:
+ Đã đăng nhập Gmail bằng tài khoản A
+ Tài khoản B là địa chỉ Gmail hợp lệ (người nhận)
Step:
1. Mở thư nháp trong Drafts
2. Click [Discard draft] (biểu tượng thùng rác)
3. Quan sát mục [Drafts]</t>
  </si>
  <si>
    <t>2. Khung soạn thư đóng
3. Thư nháp không còn trong Drafts</t>
  </si>
  <si>
    <t>TEST REPORT</t>
  </si>
  <si>
    <t>Notes</t>
  </si>
  <si>
    <t>Release 1 gồm 5 module của chức năng 4, 5, 6: ComposeWindow, SendEmail, SendNegative, Attachment, Drafts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</si>
  <si>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</si>
  <si>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</si>
  <si>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</si>
  <si>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</si>
  <si>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</si>
  <si>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</si>
  <si>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</si>
  <si>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</si>
  <si>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1</t>
  </si>
  <si>
    <t>2</t>
  </si>
  <si>
    <t>Tạo test case chức năng 5-6: Đính kèm tệp và gửi thư nháp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</si>
</sst>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"/>
    <numFmt numFmtId="165" formatCode="d\-mmm\-yy"/>
    <numFmt numFmtId="166" formatCode="m/d/yyyy"/>
  </numFmts>
  <fonts count="21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u/>
      <sz val="11"/>
      <color rgb="FF0000FF"/>
      <name val="MS PGothic"/>
      <charset val="1"/>
    </font>
    <font>
      <u/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 applyBorder="1" applyAlignment="1"/>
    <xf numFmtId="0" fontId="4" fillId="2" borderId="1" xfId="0" applyFont="1" applyFill="1" applyBorder="1" applyAlignment="1">
      <alignment horizontal="left"/>
    </xf>
    <xf numFmtId="0" fontId="1" fillId="0" borderId="2" xfId="0" applyFont="1" applyBorder="1" applyAlignment="1"/>
    <xf numFmtId="0" fontId="4" fillId="2" borderId="1" xfId="0" applyFont="1" applyFill="1" applyBorder="1" applyAlignment="1">
      <alignment horizontal="left" vertical="center"/>
    </xf>
    <xf numFmtId="164" fontId="5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2" borderId="0" xfId="0" applyFont="1" applyFill="1" applyBorder="1" applyAlignment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6" fillId="3" borderId="3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66" fontId="5" fillId="0" borderId="6" xfId="0" applyNumberFormat="1" applyFont="1" applyBorder="1" applyAlignment="1">
      <alignment vertical="top" wrapText="1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6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6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 applyBorder="1" applyAlignment="1"/>
    <xf numFmtId="0" fontId="1" fillId="2" borderId="0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9" fillId="2" borderId="0" xfId="0" applyFont="1" applyFill="1" applyBorder="1" applyAlignment="1">
      <alignment horizontal="left"/>
    </xf>
    <xf numFmtId="0" fontId="1" fillId="2" borderId="0" xfId="0" applyFont="1" applyFill="1" applyBorder="1" applyAlignment="1">
      <alignment wrapText="1"/>
    </xf>
    <xf numFmtId="1" fontId="4" fillId="2" borderId="0" xfId="0" applyNumberFormat="1" applyFont="1" applyFill="1" applyBorder="1" applyAlignment="1"/>
    <xf numFmtId="0" fontId="1" fillId="2" borderId="0" xfId="0" applyFont="1" applyFill="1" applyBorder="1" applyAlignment="1">
      <alignment vertical="center"/>
    </xf>
    <xf numFmtId="1" fontId="1" fillId="2" borderId="0" xfId="0" applyNumberFormat="1" applyFont="1" applyFill="1" applyBorder="1" applyAlignment="1">
      <alignment vertical="center"/>
    </xf>
    <xf numFmtId="0" fontId="1" fillId="2" borderId="0" xfId="0" applyFont="1" applyFill="1" applyBorder="1" applyAlignment="1">
      <alignment horizontal="left" vertical="center"/>
    </xf>
    <xf numFmtId="0" fontId="10" fillId="2" borderId="0" xfId="0" applyFont="1" applyFill="1" applyBorder="1" applyAlignment="1">
      <alignment horizontal="center"/>
    </xf>
    <xf numFmtId="1" fontId="6" fillId="4" borderId="3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1" fillId="2" borderId="7" xfId="0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3" fillId="5" borderId="7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left" vertical="center" wrapText="1"/>
    </xf>
    <xf numFmtId="0" fontId="15" fillId="0" borderId="7" xfId="0" applyFont="1" applyBorder="1" applyAlignment="1">
      <alignment vertical="center" wrapText="1"/>
    </xf>
    <xf numFmtId="0" fontId="15" fillId="0" borderId="7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7" fillId="2" borderId="15" xfId="0" applyFont="1" applyFill="1" applyBorder="1" applyAlignment="1"/>
    <xf numFmtId="0" fontId="17" fillId="2" borderId="15" xfId="0" applyFont="1" applyFill="1" applyBorder="1" applyAlignment="1">
      <alignment wrapText="1"/>
    </xf>
    <xf numFmtId="0" fontId="1" fillId="2" borderId="15" xfId="0" applyFont="1" applyFill="1" applyBorder="1" applyAlignment="1">
      <alignment wrapText="1"/>
    </xf>
    <xf numFmtId="0" fontId="10" fillId="2" borderId="0" xfId="0" applyFont="1" applyFill="1" applyBorder="1" applyAlignment="1">
      <alignment wrapText="1"/>
    </xf>
    <xf numFmtId="0" fontId="18" fillId="2" borderId="0" xfId="0" applyFont="1" applyFill="1" applyBorder="1" applyAlignment="1">
      <alignment wrapText="1"/>
    </xf>
    <xf numFmtId="0" fontId="17" fillId="2" borderId="0" xfId="0" applyFont="1" applyFill="1" applyBorder="1" applyAlignment="1"/>
    <xf numFmtId="0" fontId="10" fillId="2" borderId="16" xfId="0" applyFont="1" applyFill="1" applyBorder="1" applyAlignment="1">
      <alignment horizontal="left" wrapText="1"/>
    </xf>
    <xf numFmtId="0" fontId="10" fillId="2" borderId="17" xfId="0" applyFont="1" applyFill="1" applyBorder="1" applyAlignment="1">
      <alignment horizontal="left" wrapText="1"/>
    </xf>
    <xf numFmtId="0" fontId="8" fillId="2" borderId="17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18" fillId="2" borderId="0" xfId="0" applyFont="1" applyFill="1" applyBorder="1" applyAlignment="1">
      <alignment horizontal="center" wrapText="1"/>
    </xf>
    <xf numFmtId="0" fontId="17" fillId="2" borderId="18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vertical="center" wrapText="1"/>
    </xf>
    <xf numFmtId="0" fontId="17" fillId="2" borderId="0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19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6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66" fontId="1" fillId="2" borderId="1" xfId="0" applyNumberFormat="1" applyFont="1" applyFill="1" applyBorder="1" applyAlignment="1">
      <alignment vertical="top" wrapText="1"/>
    </xf>
    <xf numFmtId="0" fontId="17" fillId="2" borderId="1" xfId="0" applyFont="1" applyFill="1" applyBorder="1" applyAlignment="1">
      <alignment vertical="top" wrapText="1"/>
    </xf>
    <xf numFmtId="0" fontId="18" fillId="2" borderId="0" xfId="0" applyFont="1" applyFill="1" applyBorder="1" applyAlignment="1"/>
    <xf numFmtId="0" fontId="10" fillId="2" borderId="0" xfId="0" applyFont="1" applyFill="1" applyBorder="1" applyAlignment="1"/>
    <xf numFmtId="165" fontId="1" fillId="2" borderId="0" xfId="0" applyNumberFormat="1" applyFont="1" applyFill="1" applyBorder="1" applyAlignment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166" fontId="4" fillId="2" borderId="2" xfId="0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top"/>
    </xf>
    <xf numFmtId="0" fontId="5" fillId="2" borderId="0" xfId="0" applyFont="1" applyFill="1" applyBorder="1" applyAlignment="1"/>
    <xf numFmtId="0" fontId="1" fillId="2" borderId="20" xfId="0" applyFont="1" applyFill="1" applyBorder="1" applyAlignment="1"/>
    <xf numFmtId="0" fontId="6" fillId="3" borderId="21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 wrapText="1"/>
    </xf>
    <xf numFmtId="0" fontId="6" fillId="3" borderId="13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 wrapText="1"/>
    </xf>
    <xf numFmtId="0" fontId="1" fillId="2" borderId="23" xfId="0" applyFont="1" applyFill="1" applyBorder="1" applyAlignment="1">
      <alignment horizontal="center"/>
    </xf>
    <xf numFmtId="0" fontId="1" fillId="2" borderId="7" xfId="0" applyFont="1" applyFill="1" applyBorder="1" applyAlignment="1"/>
    <xf numFmtId="0" fontId="1" fillId="2" borderId="7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0" fontId="1" fillId="2" borderId="0" xfId="0" applyNumberFormat="1" applyFont="1" applyFill="1" applyBorder="1" applyAlignment="1">
      <alignment horizontal="center"/>
    </xf>
    <xf numFmtId="9" fontId="1" fillId="2" borderId="0" xfId="0" applyNumberFormat="1" applyFont="1" applyFill="1" applyBorder="1" applyAlignment="1">
      <alignment horizontal="center"/>
    </xf>
    <xf numFmtId="0" fontId="19" fillId="3" borderId="25" xfId="0" applyFont="1" applyFill="1" applyBorder="1" applyAlignment="1">
      <alignment horizontal="center"/>
    </xf>
    <xf numFmtId="0" fontId="6" fillId="3" borderId="10" xfId="0" applyFont="1" applyFill="1" applyBorder="1" applyAlignment="1"/>
    <xf numFmtId="10" fontId="19" fillId="3" borderId="10" xfId="0" applyNumberFormat="1" applyFont="1" applyFill="1" applyBorder="1" applyAlignment="1">
      <alignment horizontal="center"/>
    </xf>
    <xf numFmtId="10" fontId="19" fillId="3" borderId="26" xfId="0" applyNumberFormat="1" applyFont="1" applyFill="1" applyBorder="1" applyAlignment="1">
      <alignment horizontal="center"/>
    </xf>
    <xf numFmtId="0" fontId="19" fillId="3" borderId="26" xfId="0" applyFont="1" applyFill="1" applyBorder="1" applyAlignment="1">
      <alignment horizontal="center"/>
    </xf>
    <xf numFmtId="2" fontId="20" fillId="2" borderId="0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" fontId="4" fillId="2" borderId="12" xfId="0" applyNumberFormat="1" applyFont="1" applyFill="1" applyBorder="1" applyAlignment="1"/>
    <xf numFmtId="0" fontId="5" fillId="2" borderId="1" xfId="0" applyFont="1" applyFill="1" applyBorder="1" applyAlignment="1">
      <alignment horizontal="left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/>
    </xf>
    <xf numFmtId="0" fontId="3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Downloads/Gmail_TestCase_ComposeSend.xlsx" TargetMode="External"/><Relationship Id="rId2" Type="http://schemas.openxmlformats.org/officeDocument/2006/relationships/hyperlink" Target="../../../../Downloads/Gmail_TestCase_ComposeSend.xlsx" TargetMode="External"/><Relationship Id="rId1" Type="http://schemas.openxmlformats.org/officeDocument/2006/relationships/hyperlink" Target="../../../../Downloads/Gmail_TestCase_ComposeSend.xlsx" TargetMode="External"/><Relationship Id="rId5" Type="http://schemas.openxmlformats.org/officeDocument/2006/relationships/hyperlink" Target="../../../../Downloads/Gmail_TestCase_ComposeSend.xlsx" TargetMode="External"/><Relationship Id="rId4" Type="http://schemas.openxmlformats.org/officeDocument/2006/relationships/hyperlink" Target="../../../../Downloads/Gmail_TestCase_ComposeSend.xlsx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zoomScaleNormal="100" workbookViewId="0">
      <selection activeCell="B12" sqref="B12"/>
    </sheetView>
  </sheetViews>
  <sheetFormatPr defaultColWidth="14.453125" defaultRowHeight="14.5" x14ac:dyDescent="0.35"/>
  <cols>
    <col min="1" max="1" width="2.54296875" customWidth="1"/>
    <col min="2" max="2" width="22.453125" customWidth="1"/>
    <col min="3" max="3" width="10.54296875" customWidth="1"/>
    <col min="4" max="4" width="16.54296875" customWidth="1"/>
    <col min="5" max="5" width="9.08984375" customWidth="1"/>
    <col min="6" max="6" width="35.54296875" customWidth="1"/>
    <col min="7" max="7" width="35.453125" customWidth="1"/>
    <col min="8" max="26" width="9.08984375" customWidth="1"/>
  </cols>
  <sheetData>
    <row r="1" spans="1:26" ht="12.75" customHeight="1" x14ac:dyDescent="0.3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5">
      <c r="A2" s="3"/>
      <c r="B2" s="116" t="s">
        <v>0</v>
      </c>
      <c r="C2" s="116"/>
      <c r="D2" s="116"/>
      <c r="E2" s="116"/>
      <c r="F2" s="116"/>
      <c r="G2" s="116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5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5">
      <c r="A4" s="1"/>
      <c r="B4" s="8" t="s">
        <v>1</v>
      </c>
      <c r="C4" s="117" t="s">
        <v>2</v>
      </c>
      <c r="D4" s="117"/>
      <c r="E4" s="117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5">
      <c r="A5" s="1"/>
      <c r="B5" s="8" t="s">
        <v>5</v>
      </c>
      <c r="C5" s="117" t="s">
        <v>6</v>
      </c>
      <c r="D5" s="117"/>
      <c r="E5" s="117"/>
      <c r="F5" s="8" t="s">
        <v>7</v>
      </c>
      <c r="G5" s="9" t="s">
        <v>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5">
      <c r="A6" s="1"/>
      <c r="B6" s="118" t="s">
        <v>9</v>
      </c>
      <c r="C6" s="119" t="str">
        <f>C5&amp;"_TestCase_V0.1"</f>
        <v>GMAIL_TestCase_V0.1</v>
      </c>
      <c r="D6" s="119"/>
      <c r="E6" s="119"/>
      <c r="F6" s="8" t="s">
        <v>10</v>
      </c>
      <c r="G6" s="11">
        <v>46324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5">
      <c r="A7" s="1"/>
      <c r="B7" s="118"/>
      <c r="C7" s="119"/>
      <c r="D7" s="119"/>
      <c r="E7" s="119"/>
      <c r="F7" s="8" t="s">
        <v>11</v>
      </c>
      <c r="G7" s="12">
        <v>2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5">
      <c r="A8" s="1"/>
      <c r="B8" s="13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5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5">
      <c r="A10" s="1"/>
      <c r="B10" s="14" t="s">
        <v>12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5">
      <c r="A11" s="15"/>
      <c r="B11" s="16" t="s">
        <v>13</v>
      </c>
      <c r="C11" s="17" t="s">
        <v>11</v>
      </c>
      <c r="D11" s="17" t="s">
        <v>14</v>
      </c>
      <c r="E11" s="17" t="s">
        <v>15</v>
      </c>
      <c r="F11" s="17" t="s">
        <v>16</v>
      </c>
      <c r="G11" s="18" t="s">
        <v>17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25.5" customHeight="1" x14ac:dyDescent="0.35">
      <c r="A12" s="19"/>
      <c r="B12" s="20">
        <v>46312</v>
      </c>
      <c r="C12" s="21" t="s">
        <v>253</v>
      </c>
      <c r="D12" s="19"/>
      <c r="E12" s="22" t="s">
        <v>18</v>
      </c>
      <c r="F12" s="22" t="s">
        <v>19</v>
      </c>
      <c r="G12" s="23" t="s">
        <v>20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spans="1:26" ht="21.75" customHeight="1" x14ac:dyDescent="0.35">
      <c r="A13" s="19"/>
      <c r="B13" s="20">
        <v>46324</v>
      </c>
      <c r="C13" s="21" t="s">
        <v>254</v>
      </c>
      <c r="D13" s="22"/>
      <c r="E13" s="22"/>
      <c r="F13" s="115" t="s">
        <v>255</v>
      </c>
      <c r="G13" s="23" t="s">
        <v>20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 spans="1:26" ht="19.5" customHeight="1" x14ac:dyDescent="0.35">
      <c r="A14" s="19"/>
      <c r="B14" s="24"/>
      <c r="C14" s="21"/>
      <c r="D14" s="22"/>
      <c r="E14" s="22"/>
      <c r="F14" s="22"/>
      <c r="G14" s="25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spans="1:26" ht="21.75" customHeight="1" x14ac:dyDescent="0.35">
      <c r="A15" s="19"/>
      <c r="B15" s="24"/>
      <c r="C15" s="21"/>
      <c r="D15" s="22"/>
      <c r="E15" s="22"/>
      <c r="F15" s="22"/>
      <c r="G15" s="25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 spans="1:26" ht="19.5" customHeight="1" x14ac:dyDescent="0.35">
      <c r="A16" s="19"/>
      <c r="B16" s="24"/>
      <c r="C16" s="21"/>
      <c r="D16" s="22"/>
      <c r="E16" s="22"/>
      <c r="F16" s="22"/>
      <c r="G16" s="25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21.75" customHeight="1" x14ac:dyDescent="0.35">
      <c r="A17" s="19"/>
      <c r="B17" s="24"/>
      <c r="C17" s="21"/>
      <c r="D17" s="22"/>
      <c r="E17" s="22"/>
      <c r="F17" s="22"/>
      <c r="G17" s="25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 spans="1:26" ht="19.5" customHeight="1" x14ac:dyDescent="0.35">
      <c r="A18" s="19"/>
      <c r="B18" s="26"/>
      <c r="C18" s="27"/>
      <c r="D18" s="28"/>
      <c r="E18" s="28"/>
      <c r="F18" s="28"/>
      <c r="G18" s="2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spans="1:26" ht="12.75" customHeight="1" x14ac:dyDescent="0.35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5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5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5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5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5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5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5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5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5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5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5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5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5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5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5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5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5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5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5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5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5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5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5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5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5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5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5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5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5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5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5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5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5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5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5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5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5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5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5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5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5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5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5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5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5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5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5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5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5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5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5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5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5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5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5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5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5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5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5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5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5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5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5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5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5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5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5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5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5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5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5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5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5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5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5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5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5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5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5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5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5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5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5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5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5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5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5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5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5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5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5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5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5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5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5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5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5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5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5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5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5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5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5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5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5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5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5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5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5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5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5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5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5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5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5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5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5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5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5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5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5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5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5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5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5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5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5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5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5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5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5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5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5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5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5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5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5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5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5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5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5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5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5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5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5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5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5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5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5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5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5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5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5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5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5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5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5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5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5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5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5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5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5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5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5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5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5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5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5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5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5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5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5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5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5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5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5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5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5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5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5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5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5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5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5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5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5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5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5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5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5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5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5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5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5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5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5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5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5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5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5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5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5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5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5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5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5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5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5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5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5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5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5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5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5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5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5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5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5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5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5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5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5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5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5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5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5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5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5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5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5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5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5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5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5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5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5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5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5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5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5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5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5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5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5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5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5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5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5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5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5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5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5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5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5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5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5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5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5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5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5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5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5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5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5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5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5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5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5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5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5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5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5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5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5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5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5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5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5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5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5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5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5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5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5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5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5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5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5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5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5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5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5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5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5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5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5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5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5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5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5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5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5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5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5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5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5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5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5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5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5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5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5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5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5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5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5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5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5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5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5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5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5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5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5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5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5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5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5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5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5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5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5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5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5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5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5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5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5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5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5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5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5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5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5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5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5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5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5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5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5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5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5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5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5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5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5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5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5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5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5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5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5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5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5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5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5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5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5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5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5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5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5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5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5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5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5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5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5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5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5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5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5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5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5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5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5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5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5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5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5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5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5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5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5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5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5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5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5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5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5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5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5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5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5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5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5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5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5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5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5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5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5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5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5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5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5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5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5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5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5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5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5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5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5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5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5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5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5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5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5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5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5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5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5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5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5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5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5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5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5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5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5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5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5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5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5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5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5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5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5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5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5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5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5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5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5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5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5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5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5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5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5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5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5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5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5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5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5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5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5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5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5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5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5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5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5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5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5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5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5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5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5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5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5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5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5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5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5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5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5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5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5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5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5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5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5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5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5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5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5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5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5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5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5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5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5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5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5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5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5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5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5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5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5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5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5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5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5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5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5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5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5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5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5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5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5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5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5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5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5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5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5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5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5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5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5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5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5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5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5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5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5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5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5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5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5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5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5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5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5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5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5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5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5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5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5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5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5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5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5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5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5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5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5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5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5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5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5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5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5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5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5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5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5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5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5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5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5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5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5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5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5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5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5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5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5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5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5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5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5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5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5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5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5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5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5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5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5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5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5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5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5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5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5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5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5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5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5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5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5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5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5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5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5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5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5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5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5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5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5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5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5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5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5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5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5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5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5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5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5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5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5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5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5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5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5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5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5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5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5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5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5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5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5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5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5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5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5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5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5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5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5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5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5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5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5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5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5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5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5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5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5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5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5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5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5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5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5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5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5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5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5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5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5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5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5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5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5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5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5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5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5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5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5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5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5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5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5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5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5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5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5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5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5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5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5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5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5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5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5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5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5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5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5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5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5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5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5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5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5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5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5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5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5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5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5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5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5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5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5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5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5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5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5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5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5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5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5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5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5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5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5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5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5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5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5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5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5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5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5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5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5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5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5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5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5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5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5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5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5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5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5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5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5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5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5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5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5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5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5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5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5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5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5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5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5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5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5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5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5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5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5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5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5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5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5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5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5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5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5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5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5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5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5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5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5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5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5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5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5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5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5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5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5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5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5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5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5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5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5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5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5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5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5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5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5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5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5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5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5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5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5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5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5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5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5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5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5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5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5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5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5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5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5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5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5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5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5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5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5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5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5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5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5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5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5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5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5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5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5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5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5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5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5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5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5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5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5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5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5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5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5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5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5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5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5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5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5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5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5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5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5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5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5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5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5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5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5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5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5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5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5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5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5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5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5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5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5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5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5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5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5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5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5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5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5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5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5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5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5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5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5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5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5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5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5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5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5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5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5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5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5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5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5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5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5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5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5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5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5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5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5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5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5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5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5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5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5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5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5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5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5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5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5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5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5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5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5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5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5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5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5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5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5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5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5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5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5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5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5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5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5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5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5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5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5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5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5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5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5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5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5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5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5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5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5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5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5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5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5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5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5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5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5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5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5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5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5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5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5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5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5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5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5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5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5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5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5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5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5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/>
  </sheetViews>
  <sheetFormatPr defaultColWidth="14.453125" defaultRowHeight="14.5" x14ac:dyDescent="0.35"/>
  <cols>
    <col min="1" max="1" width="1.54296875" customWidth="1"/>
    <col min="2" max="2" width="13.453125" customWidth="1"/>
    <col min="3" max="3" width="30.26953125" customWidth="1"/>
    <col min="4" max="4" width="19.54296875" customWidth="1"/>
    <col min="5" max="5" width="32.1796875" customWidth="1"/>
    <col min="6" max="6" width="35" customWidth="1"/>
    <col min="7" max="26" width="9.08984375" customWidth="1"/>
  </cols>
  <sheetData>
    <row r="1" spans="1:26" ht="25.5" customHeight="1" x14ac:dyDescent="0.45">
      <c r="A1" s="7"/>
      <c r="B1" s="30"/>
      <c r="C1" s="31"/>
      <c r="D1" s="32" t="s">
        <v>21</v>
      </c>
      <c r="E1" s="33"/>
      <c r="F1" s="31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5">
      <c r="A2" s="7"/>
      <c r="B2" s="30"/>
      <c r="C2" s="31"/>
      <c r="D2" s="34"/>
      <c r="E2" s="34"/>
      <c r="F2" s="31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5">
      <c r="A3" s="7"/>
      <c r="B3" s="120" t="s">
        <v>1</v>
      </c>
      <c r="C3" s="120"/>
      <c r="D3" s="121" t="str">
        <f>Cover!C4</f>
        <v>Gmail</v>
      </c>
      <c r="E3" s="121"/>
      <c r="F3" s="121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5">
      <c r="A4" s="7"/>
      <c r="B4" s="120" t="s">
        <v>5</v>
      </c>
      <c r="C4" s="120"/>
      <c r="D4" s="121" t="str">
        <f>Cover!C5</f>
        <v>GMAIL</v>
      </c>
      <c r="E4" s="121"/>
      <c r="F4" s="121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79.5" customHeight="1" x14ac:dyDescent="0.35">
      <c r="A5" s="35"/>
      <c r="B5" s="122" t="s">
        <v>22</v>
      </c>
      <c r="C5" s="122"/>
      <c r="D5" s="123" t="s">
        <v>23</v>
      </c>
      <c r="E5" s="123"/>
      <c r="F5" s="123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spans="1:26" ht="12.75" customHeight="1" x14ac:dyDescent="0.35">
      <c r="A6" s="7"/>
      <c r="B6" s="36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5">
      <c r="A7" s="37"/>
      <c r="B7" s="38"/>
      <c r="C7" s="39"/>
      <c r="D7" s="39"/>
      <c r="E7" s="39"/>
      <c r="F7" s="39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21" customHeight="1" x14ac:dyDescent="0.35">
      <c r="A8" s="40"/>
      <c r="B8" s="41" t="s">
        <v>24</v>
      </c>
      <c r="C8" s="42" t="s">
        <v>25</v>
      </c>
      <c r="D8" s="42" t="s">
        <v>26</v>
      </c>
      <c r="E8" s="43" t="s">
        <v>27</v>
      </c>
      <c r="F8" s="44" t="s">
        <v>28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30" customHeight="1" x14ac:dyDescent="0.35">
      <c r="A9" s="7"/>
      <c r="B9" s="45">
        <v>1</v>
      </c>
      <c r="C9" s="46" t="s">
        <v>29</v>
      </c>
      <c r="D9" s="47" t="s">
        <v>29</v>
      </c>
      <c r="E9" s="48" t="s">
        <v>30</v>
      </c>
      <c r="F9" s="49" t="s">
        <v>31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30" customHeight="1" x14ac:dyDescent="0.35">
      <c r="A10" s="7"/>
      <c r="B10" s="45">
        <v>2</v>
      </c>
      <c r="C10" s="46" t="s">
        <v>32</v>
      </c>
      <c r="D10" s="47" t="s">
        <v>33</v>
      </c>
      <c r="E10" s="48" t="s">
        <v>34</v>
      </c>
      <c r="F10" s="49" t="s">
        <v>35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30" customHeight="1" x14ac:dyDescent="0.35">
      <c r="A11" s="7"/>
      <c r="B11" s="45">
        <v>3</v>
      </c>
      <c r="C11" s="46" t="s">
        <v>36</v>
      </c>
      <c r="D11" s="47" t="s">
        <v>36</v>
      </c>
      <c r="E11" s="48" t="s">
        <v>37</v>
      </c>
      <c r="F11" s="49" t="s">
        <v>38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30" customHeight="1" x14ac:dyDescent="0.35">
      <c r="A12" s="7"/>
      <c r="B12" s="45">
        <v>4</v>
      </c>
      <c r="C12" s="46" t="s">
        <v>39</v>
      </c>
      <c r="D12" s="47" t="s">
        <v>39</v>
      </c>
      <c r="E12" s="48" t="s">
        <v>40</v>
      </c>
      <c r="F12" s="49" t="s">
        <v>41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30" customHeight="1" x14ac:dyDescent="0.35">
      <c r="A13" s="7"/>
      <c r="B13" s="45">
        <v>5</v>
      </c>
      <c r="C13" s="46" t="s">
        <v>42</v>
      </c>
      <c r="D13" s="47" t="s">
        <v>42</v>
      </c>
      <c r="E13" s="48" t="s">
        <v>43</v>
      </c>
      <c r="F13" s="49" t="s">
        <v>38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5">
      <c r="A14" s="7"/>
      <c r="B14" s="45"/>
      <c r="C14" s="46"/>
      <c r="D14" s="50"/>
      <c r="E14" s="50"/>
      <c r="F14" s="4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5">
      <c r="A15" s="7"/>
      <c r="B15" s="45"/>
      <c r="C15" s="46"/>
      <c r="D15" s="50"/>
      <c r="E15" s="50"/>
      <c r="F15" s="4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5">
      <c r="A16" s="7"/>
      <c r="B16" s="45"/>
      <c r="C16" s="46"/>
      <c r="D16" s="50"/>
      <c r="E16" s="50"/>
      <c r="F16" s="4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5">
      <c r="A17" s="7"/>
      <c r="B17" s="45"/>
      <c r="C17" s="46"/>
      <c r="D17" s="50"/>
      <c r="E17" s="50"/>
      <c r="F17" s="49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5">
      <c r="A18" s="7"/>
      <c r="B18" s="45"/>
      <c r="C18" s="46"/>
      <c r="D18" s="50"/>
      <c r="E18" s="50"/>
      <c r="F18" s="49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5">
      <c r="A19" s="7"/>
      <c r="B19" s="45"/>
      <c r="C19" s="46"/>
      <c r="D19" s="50"/>
      <c r="E19" s="50"/>
      <c r="F19" s="49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5">
      <c r="A20" s="7"/>
      <c r="B20" s="45"/>
      <c r="C20" s="46"/>
      <c r="D20" s="50"/>
      <c r="E20" s="50"/>
      <c r="F20" s="49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5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5">
      <c r="A22" s="7"/>
      <c r="B22" s="30"/>
      <c r="C22" s="31"/>
      <c r="D22" s="31"/>
      <c r="E22" s="31"/>
      <c r="F22" s="31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5">
      <c r="A23" s="7"/>
      <c r="B23" s="30"/>
      <c r="C23" s="31"/>
      <c r="D23" s="31"/>
      <c r="E23" s="31"/>
      <c r="F23" s="31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5">
      <c r="A24" s="7"/>
      <c r="B24" s="30"/>
      <c r="C24" s="31"/>
      <c r="D24" s="31"/>
      <c r="E24" s="31"/>
      <c r="F24" s="31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5">
      <c r="A25" s="7"/>
      <c r="B25" s="30"/>
      <c r="C25" s="31"/>
      <c r="D25" s="31"/>
      <c r="E25" s="31"/>
      <c r="F25" s="31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5">
      <c r="A26" s="7"/>
      <c r="B26" s="30"/>
      <c r="C26" s="31"/>
      <c r="D26" s="31"/>
      <c r="E26" s="31"/>
      <c r="F26" s="31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5">
      <c r="A27" s="7"/>
      <c r="B27" s="30"/>
      <c r="C27" s="31"/>
      <c r="D27" s="31"/>
      <c r="E27" s="31"/>
      <c r="F27" s="31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5">
      <c r="A28" s="7"/>
      <c r="B28" s="30"/>
      <c r="C28" s="31"/>
      <c r="D28" s="31"/>
      <c r="E28" s="31"/>
      <c r="F28" s="31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5">
      <c r="A29" s="7"/>
      <c r="B29" s="30"/>
      <c r="C29" s="31"/>
      <c r="D29" s="31"/>
      <c r="E29" s="31"/>
      <c r="F29" s="31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5">
      <c r="A30" s="7"/>
      <c r="B30" s="30"/>
      <c r="C30" s="31"/>
      <c r="D30" s="31"/>
      <c r="E30" s="31"/>
      <c r="F30" s="31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5">
      <c r="A31" s="7"/>
      <c r="B31" s="30"/>
      <c r="C31" s="31"/>
      <c r="D31" s="31"/>
      <c r="E31" s="31"/>
      <c r="F31" s="31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5">
      <c r="A32" s="7"/>
      <c r="B32" s="30"/>
      <c r="C32" s="31"/>
      <c r="D32" s="31"/>
      <c r="E32" s="31"/>
      <c r="F32" s="31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5">
      <c r="A33" s="7"/>
      <c r="B33" s="30"/>
      <c r="C33" s="31"/>
      <c r="D33" s="31"/>
      <c r="E33" s="31"/>
      <c r="F33" s="31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5">
      <c r="A34" s="7"/>
      <c r="B34" s="30"/>
      <c r="C34" s="31"/>
      <c r="D34" s="31"/>
      <c r="E34" s="31"/>
      <c r="F34" s="31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5">
      <c r="A35" s="7"/>
      <c r="B35" s="30"/>
      <c r="C35" s="31"/>
      <c r="D35" s="31"/>
      <c r="E35" s="31"/>
      <c r="F35" s="31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5">
      <c r="A36" s="7"/>
      <c r="B36" s="30"/>
      <c r="C36" s="31"/>
      <c r="D36" s="31"/>
      <c r="E36" s="31"/>
      <c r="F36" s="31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5">
      <c r="A37" s="7"/>
      <c r="B37" s="30"/>
      <c r="C37" s="31"/>
      <c r="D37" s="31"/>
      <c r="E37" s="31"/>
      <c r="F37" s="31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5">
      <c r="A38" s="7"/>
      <c r="B38" s="30"/>
      <c r="C38" s="31"/>
      <c r="D38" s="31"/>
      <c r="E38" s="31"/>
      <c r="F38" s="31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5">
      <c r="A39" s="7"/>
      <c r="B39" s="30"/>
      <c r="C39" s="31"/>
      <c r="D39" s="31"/>
      <c r="E39" s="31"/>
      <c r="F39" s="31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30"/>
      <c r="C40" s="31"/>
      <c r="D40" s="31"/>
      <c r="E40" s="31"/>
      <c r="F40" s="31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30"/>
      <c r="C41" s="31"/>
      <c r="D41" s="31"/>
      <c r="E41" s="31"/>
      <c r="F41" s="31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30"/>
      <c r="C42" s="31"/>
      <c r="D42" s="31"/>
      <c r="E42" s="31"/>
      <c r="F42" s="31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30"/>
      <c r="C43" s="31"/>
      <c r="D43" s="31"/>
      <c r="E43" s="31"/>
      <c r="F43" s="31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30"/>
      <c r="C44" s="31"/>
      <c r="D44" s="31"/>
      <c r="E44" s="31"/>
      <c r="F44" s="31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30"/>
      <c r="C45" s="31"/>
      <c r="D45" s="31"/>
      <c r="E45" s="31"/>
      <c r="F45" s="31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30"/>
      <c r="C46" s="31"/>
      <c r="D46" s="31"/>
      <c r="E46" s="31"/>
      <c r="F46" s="31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30"/>
      <c r="C47" s="31"/>
      <c r="D47" s="31"/>
      <c r="E47" s="31"/>
      <c r="F47" s="31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30"/>
      <c r="C48" s="31"/>
      <c r="D48" s="31"/>
      <c r="E48" s="31"/>
      <c r="F48" s="31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30"/>
      <c r="C49" s="31"/>
      <c r="D49" s="31"/>
      <c r="E49" s="31"/>
      <c r="F49" s="31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30"/>
      <c r="C50" s="31"/>
      <c r="D50" s="31"/>
      <c r="E50" s="31"/>
      <c r="F50" s="31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30"/>
      <c r="C51" s="31"/>
      <c r="D51" s="31"/>
      <c r="E51" s="31"/>
      <c r="F51" s="31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30"/>
      <c r="C52" s="31"/>
      <c r="D52" s="31"/>
      <c r="E52" s="31"/>
      <c r="F52" s="31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30"/>
      <c r="C53" s="31"/>
      <c r="D53" s="31"/>
      <c r="E53" s="31"/>
      <c r="F53" s="31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30"/>
      <c r="C54" s="31"/>
      <c r="D54" s="31"/>
      <c r="E54" s="31"/>
      <c r="F54" s="31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30"/>
      <c r="C55" s="31"/>
      <c r="D55" s="31"/>
      <c r="E55" s="31"/>
      <c r="F55" s="31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30"/>
      <c r="C56" s="31"/>
      <c r="D56" s="31"/>
      <c r="E56" s="31"/>
      <c r="F56" s="31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30"/>
      <c r="C57" s="31"/>
      <c r="D57" s="31"/>
      <c r="E57" s="31"/>
      <c r="F57" s="31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30"/>
      <c r="C58" s="31"/>
      <c r="D58" s="31"/>
      <c r="E58" s="31"/>
      <c r="F58" s="31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30"/>
      <c r="C59" s="31"/>
      <c r="D59" s="31"/>
      <c r="E59" s="31"/>
      <c r="F59" s="31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30"/>
      <c r="C60" s="31"/>
      <c r="D60" s="31"/>
      <c r="E60" s="31"/>
      <c r="F60" s="31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30"/>
      <c r="C61" s="31"/>
      <c r="D61" s="31"/>
      <c r="E61" s="31"/>
      <c r="F61" s="31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30"/>
      <c r="C62" s="31"/>
      <c r="D62" s="31"/>
      <c r="E62" s="31"/>
      <c r="F62" s="31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30"/>
      <c r="C63" s="31"/>
      <c r="D63" s="31"/>
      <c r="E63" s="31"/>
      <c r="F63" s="31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30"/>
      <c r="C64" s="31"/>
      <c r="D64" s="31"/>
      <c r="E64" s="31"/>
      <c r="F64" s="31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30"/>
      <c r="C65" s="31"/>
      <c r="D65" s="31"/>
      <c r="E65" s="31"/>
      <c r="F65" s="31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30"/>
      <c r="C66" s="31"/>
      <c r="D66" s="31"/>
      <c r="E66" s="31"/>
      <c r="F66" s="31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30"/>
      <c r="C67" s="31"/>
      <c r="D67" s="31"/>
      <c r="E67" s="31"/>
      <c r="F67" s="31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30"/>
      <c r="C68" s="31"/>
      <c r="D68" s="31"/>
      <c r="E68" s="31"/>
      <c r="F68" s="31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30"/>
      <c r="C69" s="31"/>
      <c r="D69" s="31"/>
      <c r="E69" s="31"/>
      <c r="F69" s="31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30"/>
      <c r="C70" s="31"/>
      <c r="D70" s="31"/>
      <c r="E70" s="31"/>
      <c r="F70" s="31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30"/>
      <c r="C71" s="31"/>
      <c r="D71" s="31"/>
      <c r="E71" s="31"/>
      <c r="F71" s="31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30"/>
      <c r="C72" s="31"/>
      <c r="D72" s="31"/>
      <c r="E72" s="31"/>
      <c r="F72" s="31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30"/>
      <c r="C73" s="31"/>
      <c r="D73" s="31"/>
      <c r="E73" s="31"/>
      <c r="F73" s="31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30"/>
      <c r="C74" s="31"/>
      <c r="D74" s="31"/>
      <c r="E74" s="31"/>
      <c r="F74" s="31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30"/>
      <c r="C75" s="31"/>
      <c r="D75" s="31"/>
      <c r="E75" s="31"/>
      <c r="F75" s="31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30"/>
      <c r="C76" s="31"/>
      <c r="D76" s="31"/>
      <c r="E76" s="31"/>
      <c r="F76" s="31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30"/>
      <c r="C77" s="31"/>
      <c r="D77" s="31"/>
      <c r="E77" s="31"/>
      <c r="F77" s="31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30"/>
      <c r="C78" s="31"/>
      <c r="D78" s="31"/>
      <c r="E78" s="31"/>
      <c r="F78" s="31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30"/>
      <c r="C79" s="31"/>
      <c r="D79" s="31"/>
      <c r="E79" s="31"/>
      <c r="F79" s="31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30"/>
      <c r="C80" s="31"/>
      <c r="D80" s="31"/>
      <c r="E80" s="31"/>
      <c r="F80" s="31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30"/>
      <c r="C81" s="31"/>
      <c r="D81" s="31"/>
      <c r="E81" s="31"/>
      <c r="F81" s="31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30"/>
      <c r="C82" s="31"/>
      <c r="D82" s="31"/>
      <c r="E82" s="31"/>
      <c r="F82" s="31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30"/>
      <c r="C83" s="31"/>
      <c r="D83" s="31"/>
      <c r="E83" s="31"/>
      <c r="F83" s="31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30"/>
      <c r="C84" s="31"/>
      <c r="D84" s="31"/>
      <c r="E84" s="31"/>
      <c r="F84" s="31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30"/>
      <c r="C85" s="31"/>
      <c r="D85" s="31"/>
      <c r="E85" s="31"/>
      <c r="F85" s="31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30"/>
      <c r="C86" s="31"/>
      <c r="D86" s="31"/>
      <c r="E86" s="31"/>
      <c r="F86" s="31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30"/>
      <c r="C87" s="31"/>
      <c r="D87" s="31"/>
      <c r="E87" s="31"/>
      <c r="F87" s="31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30"/>
      <c r="C88" s="31"/>
      <c r="D88" s="31"/>
      <c r="E88" s="31"/>
      <c r="F88" s="31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30"/>
      <c r="C89" s="31"/>
      <c r="D89" s="31"/>
      <c r="E89" s="31"/>
      <c r="F89" s="31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30"/>
      <c r="C90" s="31"/>
      <c r="D90" s="31"/>
      <c r="E90" s="31"/>
      <c r="F90" s="31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30"/>
      <c r="C91" s="31"/>
      <c r="D91" s="31"/>
      <c r="E91" s="31"/>
      <c r="F91" s="31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30"/>
      <c r="C92" s="31"/>
      <c r="D92" s="31"/>
      <c r="E92" s="31"/>
      <c r="F92" s="31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30"/>
      <c r="C93" s="31"/>
      <c r="D93" s="31"/>
      <c r="E93" s="31"/>
      <c r="F93" s="31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30"/>
      <c r="C94" s="31"/>
      <c r="D94" s="31"/>
      <c r="E94" s="31"/>
      <c r="F94" s="31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30"/>
      <c r="C95" s="31"/>
      <c r="D95" s="31"/>
      <c r="E95" s="31"/>
      <c r="F95" s="31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30"/>
      <c r="C96" s="31"/>
      <c r="D96" s="31"/>
      <c r="E96" s="31"/>
      <c r="F96" s="31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30"/>
      <c r="C97" s="31"/>
      <c r="D97" s="31"/>
      <c r="E97" s="31"/>
      <c r="F97" s="31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30"/>
      <c r="C98" s="31"/>
      <c r="D98" s="31"/>
      <c r="E98" s="31"/>
      <c r="F98" s="31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30"/>
      <c r="C99" s="31"/>
      <c r="D99" s="31"/>
      <c r="E99" s="31"/>
      <c r="F99" s="31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30"/>
      <c r="C100" s="31"/>
      <c r="D100" s="31"/>
      <c r="E100" s="31"/>
      <c r="F100" s="31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30"/>
      <c r="C101" s="31"/>
      <c r="D101" s="31"/>
      <c r="E101" s="31"/>
      <c r="F101" s="31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30"/>
      <c r="C102" s="31"/>
      <c r="D102" s="31"/>
      <c r="E102" s="31"/>
      <c r="F102" s="31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30"/>
      <c r="C103" s="31"/>
      <c r="D103" s="31"/>
      <c r="E103" s="31"/>
      <c r="F103" s="31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30"/>
      <c r="C104" s="31"/>
      <c r="D104" s="31"/>
      <c r="E104" s="31"/>
      <c r="F104" s="31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30"/>
      <c r="C105" s="31"/>
      <c r="D105" s="31"/>
      <c r="E105" s="31"/>
      <c r="F105" s="31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30"/>
      <c r="C106" s="31"/>
      <c r="D106" s="31"/>
      <c r="E106" s="31"/>
      <c r="F106" s="31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30"/>
      <c r="C107" s="31"/>
      <c r="D107" s="31"/>
      <c r="E107" s="31"/>
      <c r="F107" s="31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30"/>
      <c r="C108" s="31"/>
      <c r="D108" s="31"/>
      <c r="E108" s="31"/>
      <c r="F108" s="31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30"/>
      <c r="C109" s="31"/>
      <c r="D109" s="31"/>
      <c r="E109" s="31"/>
      <c r="F109" s="31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30"/>
      <c r="C110" s="31"/>
      <c r="D110" s="31"/>
      <c r="E110" s="31"/>
      <c r="F110" s="31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30"/>
      <c r="C111" s="31"/>
      <c r="D111" s="31"/>
      <c r="E111" s="31"/>
      <c r="F111" s="31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30"/>
      <c r="C112" s="31"/>
      <c r="D112" s="31"/>
      <c r="E112" s="31"/>
      <c r="F112" s="31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30"/>
      <c r="C113" s="31"/>
      <c r="D113" s="31"/>
      <c r="E113" s="31"/>
      <c r="F113" s="31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30"/>
      <c r="C114" s="31"/>
      <c r="D114" s="31"/>
      <c r="E114" s="31"/>
      <c r="F114" s="31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30"/>
      <c r="C115" s="31"/>
      <c r="D115" s="31"/>
      <c r="E115" s="31"/>
      <c r="F115" s="31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30"/>
      <c r="C116" s="31"/>
      <c r="D116" s="31"/>
      <c r="E116" s="31"/>
      <c r="F116" s="31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30"/>
      <c r="C117" s="31"/>
      <c r="D117" s="31"/>
      <c r="E117" s="31"/>
      <c r="F117" s="31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30"/>
      <c r="C118" s="31"/>
      <c r="D118" s="31"/>
      <c r="E118" s="31"/>
      <c r="F118" s="31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30"/>
      <c r="C119" s="31"/>
      <c r="D119" s="31"/>
      <c r="E119" s="31"/>
      <c r="F119" s="31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30"/>
      <c r="C120" s="31"/>
      <c r="D120" s="31"/>
      <c r="E120" s="31"/>
      <c r="F120" s="31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30"/>
      <c r="C121" s="31"/>
      <c r="D121" s="31"/>
      <c r="E121" s="31"/>
      <c r="F121" s="31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30"/>
      <c r="C122" s="31"/>
      <c r="D122" s="31"/>
      <c r="E122" s="31"/>
      <c r="F122" s="31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30"/>
      <c r="C123" s="31"/>
      <c r="D123" s="31"/>
      <c r="E123" s="31"/>
      <c r="F123" s="31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30"/>
      <c r="C124" s="31"/>
      <c r="D124" s="31"/>
      <c r="E124" s="31"/>
      <c r="F124" s="31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30"/>
      <c r="C125" s="31"/>
      <c r="D125" s="31"/>
      <c r="E125" s="31"/>
      <c r="F125" s="31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30"/>
      <c r="C126" s="31"/>
      <c r="D126" s="31"/>
      <c r="E126" s="31"/>
      <c r="F126" s="31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30"/>
      <c r="C127" s="31"/>
      <c r="D127" s="31"/>
      <c r="E127" s="31"/>
      <c r="F127" s="31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30"/>
      <c r="C128" s="31"/>
      <c r="D128" s="31"/>
      <c r="E128" s="31"/>
      <c r="F128" s="31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30"/>
      <c r="C129" s="31"/>
      <c r="D129" s="31"/>
      <c r="E129" s="31"/>
      <c r="F129" s="31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30"/>
      <c r="C130" s="31"/>
      <c r="D130" s="31"/>
      <c r="E130" s="31"/>
      <c r="F130" s="31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30"/>
      <c r="C131" s="31"/>
      <c r="D131" s="31"/>
      <c r="E131" s="31"/>
      <c r="F131" s="31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30"/>
      <c r="C132" s="31"/>
      <c r="D132" s="31"/>
      <c r="E132" s="31"/>
      <c r="F132" s="31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30"/>
      <c r="C133" s="31"/>
      <c r="D133" s="31"/>
      <c r="E133" s="31"/>
      <c r="F133" s="31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30"/>
      <c r="C134" s="31"/>
      <c r="D134" s="31"/>
      <c r="E134" s="31"/>
      <c r="F134" s="31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30"/>
      <c r="C135" s="31"/>
      <c r="D135" s="31"/>
      <c r="E135" s="31"/>
      <c r="F135" s="31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30"/>
      <c r="C136" s="31"/>
      <c r="D136" s="31"/>
      <c r="E136" s="31"/>
      <c r="F136" s="31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30"/>
      <c r="C137" s="31"/>
      <c r="D137" s="31"/>
      <c r="E137" s="31"/>
      <c r="F137" s="31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30"/>
      <c r="C138" s="31"/>
      <c r="D138" s="31"/>
      <c r="E138" s="31"/>
      <c r="F138" s="31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30"/>
      <c r="C139" s="31"/>
      <c r="D139" s="31"/>
      <c r="E139" s="31"/>
      <c r="F139" s="31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30"/>
      <c r="C140" s="31"/>
      <c r="D140" s="31"/>
      <c r="E140" s="31"/>
      <c r="F140" s="31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30"/>
      <c r="C141" s="31"/>
      <c r="D141" s="31"/>
      <c r="E141" s="31"/>
      <c r="F141" s="31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30"/>
      <c r="C142" s="31"/>
      <c r="D142" s="31"/>
      <c r="E142" s="31"/>
      <c r="F142" s="31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30"/>
      <c r="C143" s="31"/>
      <c r="D143" s="31"/>
      <c r="E143" s="31"/>
      <c r="F143" s="31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30"/>
      <c r="C144" s="31"/>
      <c r="D144" s="31"/>
      <c r="E144" s="31"/>
      <c r="F144" s="31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30"/>
      <c r="C145" s="31"/>
      <c r="D145" s="31"/>
      <c r="E145" s="31"/>
      <c r="F145" s="31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30"/>
      <c r="C146" s="31"/>
      <c r="D146" s="31"/>
      <c r="E146" s="31"/>
      <c r="F146" s="31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30"/>
      <c r="C147" s="31"/>
      <c r="D147" s="31"/>
      <c r="E147" s="31"/>
      <c r="F147" s="31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30"/>
      <c r="C148" s="31"/>
      <c r="D148" s="31"/>
      <c r="E148" s="31"/>
      <c r="F148" s="31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30"/>
      <c r="C149" s="31"/>
      <c r="D149" s="31"/>
      <c r="E149" s="31"/>
      <c r="F149" s="31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30"/>
      <c r="C150" s="31"/>
      <c r="D150" s="31"/>
      <c r="E150" s="31"/>
      <c r="F150" s="31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30"/>
      <c r="C151" s="31"/>
      <c r="D151" s="31"/>
      <c r="E151" s="31"/>
      <c r="F151" s="31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30"/>
      <c r="C152" s="31"/>
      <c r="D152" s="31"/>
      <c r="E152" s="31"/>
      <c r="F152" s="31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30"/>
      <c r="C153" s="31"/>
      <c r="D153" s="31"/>
      <c r="E153" s="31"/>
      <c r="F153" s="31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30"/>
      <c r="C154" s="31"/>
      <c r="D154" s="31"/>
      <c r="E154" s="31"/>
      <c r="F154" s="31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30"/>
      <c r="C155" s="31"/>
      <c r="D155" s="31"/>
      <c r="E155" s="31"/>
      <c r="F155" s="31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30"/>
      <c r="C156" s="31"/>
      <c r="D156" s="31"/>
      <c r="E156" s="31"/>
      <c r="F156" s="31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30"/>
      <c r="C157" s="31"/>
      <c r="D157" s="31"/>
      <c r="E157" s="31"/>
      <c r="F157" s="31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30"/>
      <c r="C158" s="31"/>
      <c r="D158" s="31"/>
      <c r="E158" s="31"/>
      <c r="F158" s="31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30"/>
      <c r="C159" s="31"/>
      <c r="D159" s="31"/>
      <c r="E159" s="31"/>
      <c r="F159" s="31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30"/>
      <c r="C160" s="31"/>
      <c r="D160" s="31"/>
      <c r="E160" s="31"/>
      <c r="F160" s="31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30"/>
      <c r="C161" s="31"/>
      <c r="D161" s="31"/>
      <c r="E161" s="31"/>
      <c r="F161" s="31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30"/>
      <c r="C162" s="31"/>
      <c r="D162" s="31"/>
      <c r="E162" s="31"/>
      <c r="F162" s="31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30"/>
      <c r="C163" s="31"/>
      <c r="D163" s="31"/>
      <c r="E163" s="31"/>
      <c r="F163" s="31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30"/>
      <c r="C164" s="31"/>
      <c r="D164" s="31"/>
      <c r="E164" s="31"/>
      <c r="F164" s="31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30"/>
      <c r="C165" s="31"/>
      <c r="D165" s="31"/>
      <c r="E165" s="31"/>
      <c r="F165" s="31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30"/>
      <c r="C166" s="31"/>
      <c r="D166" s="31"/>
      <c r="E166" s="31"/>
      <c r="F166" s="31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30"/>
      <c r="C167" s="31"/>
      <c r="D167" s="31"/>
      <c r="E167" s="31"/>
      <c r="F167" s="31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30"/>
      <c r="C168" s="31"/>
      <c r="D168" s="31"/>
      <c r="E168" s="31"/>
      <c r="F168" s="31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30"/>
      <c r="C169" s="31"/>
      <c r="D169" s="31"/>
      <c r="E169" s="31"/>
      <c r="F169" s="31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30"/>
      <c r="C170" s="31"/>
      <c r="D170" s="31"/>
      <c r="E170" s="31"/>
      <c r="F170" s="31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30"/>
      <c r="C171" s="31"/>
      <c r="D171" s="31"/>
      <c r="E171" s="31"/>
      <c r="F171" s="31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30"/>
      <c r="C172" s="31"/>
      <c r="D172" s="31"/>
      <c r="E172" s="31"/>
      <c r="F172" s="31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30"/>
      <c r="C173" s="31"/>
      <c r="D173" s="31"/>
      <c r="E173" s="31"/>
      <c r="F173" s="31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30"/>
      <c r="C174" s="31"/>
      <c r="D174" s="31"/>
      <c r="E174" s="31"/>
      <c r="F174" s="31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30"/>
      <c r="C175" s="31"/>
      <c r="D175" s="31"/>
      <c r="E175" s="31"/>
      <c r="F175" s="31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30"/>
      <c r="C176" s="31"/>
      <c r="D176" s="31"/>
      <c r="E176" s="31"/>
      <c r="F176" s="31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30"/>
      <c r="C177" s="31"/>
      <c r="D177" s="31"/>
      <c r="E177" s="31"/>
      <c r="F177" s="31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30"/>
      <c r="C178" s="31"/>
      <c r="D178" s="31"/>
      <c r="E178" s="31"/>
      <c r="F178" s="31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30"/>
      <c r="C179" s="31"/>
      <c r="D179" s="31"/>
      <c r="E179" s="31"/>
      <c r="F179" s="31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30"/>
      <c r="C180" s="31"/>
      <c r="D180" s="31"/>
      <c r="E180" s="31"/>
      <c r="F180" s="31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30"/>
      <c r="C181" s="31"/>
      <c r="D181" s="31"/>
      <c r="E181" s="31"/>
      <c r="F181" s="31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30"/>
      <c r="C182" s="31"/>
      <c r="D182" s="31"/>
      <c r="E182" s="31"/>
      <c r="F182" s="31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30"/>
      <c r="C183" s="31"/>
      <c r="D183" s="31"/>
      <c r="E183" s="31"/>
      <c r="F183" s="31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30"/>
      <c r="C184" s="31"/>
      <c r="D184" s="31"/>
      <c r="E184" s="31"/>
      <c r="F184" s="31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30"/>
      <c r="C185" s="31"/>
      <c r="D185" s="31"/>
      <c r="E185" s="31"/>
      <c r="F185" s="31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30"/>
      <c r="C186" s="31"/>
      <c r="D186" s="31"/>
      <c r="E186" s="31"/>
      <c r="F186" s="31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30"/>
      <c r="C187" s="31"/>
      <c r="D187" s="31"/>
      <c r="E187" s="31"/>
      <c r="F187" s="31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30"/>
      <c r="C188" s="31"/>
      <c r="D188" s="31"/>
      <c r="E188" s="31"/>
      <c r="F188" s="31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30"/>
      <c r="C189" s="31"/>
      <c r="D189" s="31"/>
      <c r="E189" s="31"/>
      <c r="F189" s="31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30"/>
      <c r="C190" s="31"/>
      <c r="D190" s="31"/>
      <c r="E190" s="31"/>
      <c r="F190" s="31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30"/>
      <c r="C191" s="31"/>
      <c r="D191" s="31"/>
      <c r="E191" s="31"/>
      <c r="F191" s="31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30"/>
      <c r="C192" s="31"/>
      <c r="D192" s="31"/>
      <c r="E192" s="31"/>
      <c r="F192" s="31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30"/>
      <c r="C193" s="31"/>
      <c r="D193" s="31"/>
      <c r="E193" s="31"/>
      <c r="F193" s="31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30"/>
      <c r="C194" s="31"/>
      <c r="D194" s="31"/>
      <c r="E194" s="31"/>
      <c r="F194" s="31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30"/>
      <c r="C195" s="31"/>
      <c r="D195" s="31"/>
      <c r="E195" s="31"/>
      <c r="F195" s="31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30"/>
      <c r="C196" s="31"/>
      <c r="D196" s="31"/>
      <c r="E196" s="31"/>
      <c r="F196" s="31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30"/>
      <c r="C197" s="31"/>
      <c r="D197" s="31"/>
      <c r="E197" s="31"/>
      <c r="F197" s="31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30"/>
      <c r="C198" s="31"/>
      <c r="D198" s="31"/>
      <c r="E198" s="31"/>
      <c r="F198" s="31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30"/>
      <c r="C199" s="31"/>
      <c r="D199" s="31"/>
      <c r="E199" s="31"/>
      <c r="F199" s="31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30"/>
      <c r="C200" s="31"/>
      <c r="D200" s="31"/>
      <c r="E200" s="31"/>
      <c r="F200" s="31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30"/>
      <c r="C201" s="31"/>
      <c r="D201" s="31"/>
      <c r="E201" s="31"/>
      <c r="F201" s="31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30"/>
      <c r="C202" s="31"/>
      <c r="D202" s="31"/>
      <c r="E202" s="31"/>
      <c r="F202" s="31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30"/>
      <c r="C203" s="31"/>
      <c r="D203" s="31"/>
      <c r="E203" s="31"/>
      <c r="F203" s="31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30"/>
      <c r="C204" s="31"/>
      <c r="D204" s="31"/>
      <c r="E204" s="31"/>
      <c r="F204" s="31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30"/>
      <c r="C205" s="31"/>
      <c r="D205" s="31"/>
      <c r="E205" s="31"/>
      <c r="F205" s="31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30"/>
      <c r="C206" s="31"/>
      <c r="D206" s="31"/>
      <c r="E206" s="31"/>
      <c r="F206" s="31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30"/>
      <c r="C207" s="31"/>
      <c r="D207" s="31"/>
      <c r="E207" s="31"/>
      <c r="F207" s="31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30"/>
      <c r="C208" s="31"/>
      <c r="D208" s="31"/>
      <c r="E208" s="31"/>
      <c r="F208" s="31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30"/>
      <c r="C209" s="31"/>
      <c r="D209" s="31"/>
      <c r="E209" s="31"/>
      <c r="F209" s="31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30"/>
      <c r="C210" s="31"/>
      <c r="D210" s="31"/>
      <c r="E210" s="31"/>
      <c r="F210" s="31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30"/>
      <c r="C211" s="31"/>
      <c r="D211" s="31"/>
      <c r="E211" s="31"/>
      <c r="F211" s="31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30"/>
      <c r="C212" s="31"/>
      <c r="D212" s="31"/>
      <c r="E212" s="31"/>
      <c r="F212" s="31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30"/>
      <c r="C213" s="31"/>
      <c r="D213" s="31"/>
      <c r="E213" s="31"/>
      <c r="F213" s="31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30"/>
      <c r="C214" s="31"/>
      <c r="D214" s="31"/>
      <c r="E214" s="31"/>
      <c r="F214" s="31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30"/>
      <c r="C215" s="31"/>
      <c r="D215" s="31"/>
      <c r="E215" s="31"/>
      <c r="F215" s="31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30"/>
      <c r="C216" s="31"/>
      <c r="D216" s="31"/>
      <c r="E216" s="31"/>
      <c r="F216" s="31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30"/>
      <c r="C217" s="31"/>
      <c r="D217" s="31"/>
      <c r="E217" s="31"/>
      <c r="F217" s="31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30"/>
      <c r="C218" s="31"/>
      <c r="D218" s="31"/>
      <c r="E218" s="31"/>
      <c r="F218" s="31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30"/>
      <c r="C219" s="31"/>
      <c r="D219" s="31"/>
      <c r="E219" s="31"/>
      <c r="F219" s="31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30"/>
      <c r="C220" s="31"/>
      <c r="D220" s="31"/>
      <c r="E220" s="31"/>
      <c r="F220" s="31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30"/>
      <c r="C221" s="31"/>
      <c r="D221" s="31"/>
      <c r="E221" s="31"/>
      <c r="F221" s="31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30"/>
      <c r="C222" s="31"/>
      <c r="D222" s="31"/>
      <c r="E222" s="31"/>
      <c r="F222" s="31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30"/>
      <c r="C223" s="31"/>
      <c r="D223" s="31"/>
      <c r="E223" s="31"/>
      <c r="F223" s="31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30"/>
      <c r="C224" s="31"/>
      <c r="D224" s="31"/>
      <c r="E224" s="31"/>
      <c r="F224" s="31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30"/>
      <c r="C225" s="31"/>
      <c r="D225" s="31"/>
      <c r="E225" s="31"/>
      <c r="F225" s="31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30"/>
      <c r="C226" s="31"/>
      <c r="D226" s="31"/>
      <c r="E226" s="31"/>
      <c r="F226" s="31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30"/>
      <c r="C227" s="31"/>
      <c r="D227" s="31"/>
      <c r="E227" s="31"/>
      <c r="F227" s="31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30"/>
      <c r="C228" s="31"/>
      <c r="D228" s="31"/>
      <c r="E228" s="31"/>
      <c r="F228" s="31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30"/>
      <c r="C229" s="31"/>
      <c r="D229" s="31"/>
      <c r="E229" s="31"/>
      <c r="F229" s="31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30"/>
      <c r="C230" s="31"/>
      <c r="D230" s="31"/>
      <c r="E230" s="31"/>
      <c r="F230" s="31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30"/>
      <c r="C231" s="31"/>
      <c r="D231" s="31"/>
      <c r="E231" s="31"/>
      <c r="F231" s="31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30"/>
      <c r="C232" s="31"/>
      <c r="D232" s="31"/>
      <c r="E232" s="31"/>
      <c r="F232" s="31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30"/>
      <c r="C233" s="31"/>
      <c r="D233" s="31"/>
      <c r="E233" s="31"/>
      <c r="F233" s="31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30"/>
      <c r="C234" s="31"/>
      <c r="D234" s="31"/>
      <c r="E234" s="31"/>
      <c r="F234" s="31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30"/>
      <c r="C235" s="31"/>
      <c r="D235" s="31"/>
      <c r="E235" s="31"/>
      <c r="F235" s="31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30"/>
      <c r="C236" s="31"/>
      <c r="D236" s="31"/>
      <c r="E236" s="31"/>
      <c r="F236" s="31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30"/>
      <c r="C237" s="31"/>
      <c r="D237" s="31"/>
      <c r="E237" s="31"/>
      <c r="F237" s="31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30"/>
      <c r="C238" s="31"/>
      <c r="D238" s="31"/>
      <c r="E238" s="31"/>
      <c r="F238" s="31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30"/>
      <c r="C239" s="31"/>
      <c r="D239" s="31"/>
      <c r="E239" s="31"/>
      <c r="F239" s="31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30"/>
      <c r="C240" s="31"/>
      <c r="D240" s="31"/>
      <c r="E240" s="31"/>
      <c r="F240" s="31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30"/>
      <c r="C241" s="31"/>
      <c r="D241" s="31"/>
      <c r="E241" s="31"/>
      <c r="F241" s="31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30"/>
      <c r="C242" s="31"/>
      <c r="D242" s="31"/>
      <c r="E242" s="31"/>
      <c r="F242" s="31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30"/>
      <c r="C243" s="31"/>
      <c r="D243" s="31"/>
      <c r="E243" s="31"/>
      <c r="F243" s="31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30"/>
      <c r="C244" s="31"/>
      <c r="D244" s="31"/>
      <c r="E244" s="31"/>
      <c r="F244" s="31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30"/>
      <c r="C245" s="31"/>
      <c r="D245" s="31"/>
      <c r="E245" s="31"/>
      <c r="F245" s="31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30"/>
      <c r="C246" s="31"/>
      <c r="D246" s="31"/>
      <c r="E246" s="31"/>
      <c r="F246" s="31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30"/>
      <c r="C247" s="31"/>
      <c r="D247" s="31"/>
      <c r="E247" s="31"/>
      <c r="F247" s="31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30"/>
      <c r="C248" s="31"/>
      <c r="D248" s="31"/>
      <c r="E248" s="31"/>
      <c r="F248" s="31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30"/>
      <c r="C249" s="31"/>
      <c r="D249" s="31"/>
      <c r="E249" s="31"/>
      <c r="F249" s="31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30"/>
      <c r="C250" s="31"/>
      <c r="D250" s="31"/>
      <c r="E250" s="31"/>
      <c r="F250" s="31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30"/>
      <c r="C251" s="31"/>
      <c r="D251" s="31"/>
      <c r="E251" s="31"/>
      <c r="F251" s="31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30"/>
      <c r="C252" s="31"/>
      <c r="D252" s="31"/>
      <c r="E252" s="31"/>
      <c r="F252" s="31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30"/>
      <c r="C253" s="31"/>
      <c r="D253" s="31"/>
      <c r="E253" s="31"/>
      <c r="F253" s="31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30"/>
      <c r="C254" s="31"/>
      <c r="D254" s="31"/>
      <c r="E254" s="31"/>
      <c r="F254" s="31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30"/>
      <c r="C255" s="31"/>
      <c r="D255" s="31"/>
      <c r="E255" s="31"/>
      <c r="F255" s="31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30"/>
      <c r="C256" s="31"/>
      <c r="D256" s="31"/>
      <c r="E256" s="31"/>
      <c r="F256" s="31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30"/>
      <c r="C257" s="31"/>
      <c r="D257" s="31"/>
      <c r="E257" s="31"/>
      <c r="F257" s="31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30"/>
      <c r="C258" s="31"/>
      <c r="D258" s="31"/>
      <c r="E258" s="31"/>
      <c r="F258" s="31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30"/>
      <c r="C259" s="31"/>
      <c r="D259" s="31"/>
      <c r="E259" s="31"/>
      <c r="F259" s="31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30"/>
      <c r="C260" s="31"/>
      <c r="D260" s="31"/>
      <c r="E260" s="31"/>
      <c r="F260" s="31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30"/>
      <c r="C261" s="31"/>
      <c r="D261" s="31"/>
      <c r="E261" s="31"/>
      <c r="F261" s="31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30"/>
      <c r="C262" s="31"/>
      <c r="D262" s="31"/>
      <c r="E262" s="31"/>
      <c r="F262" s="31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30"/>
      <c r="C263" s="31"/>
      <c r="D263" s="31"/>
      <c r="E263" s="31"/>
      <c r="F263" s="31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30"/>
      <c r="C264" s="31"/>
      <c r="D264" s="31"/>
      <c r="E264" s="31"/>
      <c r="F264" s="31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30"/>
      <c r="C265" s="31"/>
      <c r="D265" s="31"/>
      <c r="E265" s="31"/>
      <c r="F265" s="31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30"/>
      <c r="C266" s="31"/>
      <c r="D266" s="31"/>
      <c r="E266" s="31"/>
      <c r="F266" s="31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30"/>
      <c r="C267" s="31"/>
      <c r="D267" s="31"/>
      <c r="E267" s="31"/>
      <c r="F267" s="31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30"/>
      <c r="C268" s="31"/>
      <c r="D268" s="31"/>
      <c r="E268" s="31"/>
      <c r="F268" s="31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30"/>
      <c r="C269" s="31"/>
      <c r="D269" s="31"/>
      <c r="E269" s="31"/>
      <c r="F269" s="31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30"/>
      <c r="C270" s="31"/>
      <c r="D270" s="31"/>
      <c r="E270" s="31"/>
      <c r="F270" s="31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30"/>
      <c r="C271" s="31"/>
      <c r="D271" s="31"/>
      <c r="E271" s="31"/>
      <c r="F271" s="31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30"/>
      <c r="C272" s="31"/>
      <c r="D272" s="31"/>
      <c r="E272" s="31"/>
      <c r="F272" s="31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30"/>
      <c r="C273" s="31"/>
      <c r="D273" s="31"/>
      <c r="E273" s="31"/>
      <c r="F273" s="31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30"/>
      <c r="C274" s="31"/>
      <c r="D274" s="31"/>
      <c r="E274" s="31"/>
      <c r="F274" s="31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30"/>
      <c r="C275" s="31"/>
      <c r="D275" s="31"/>
      <c r="E275" s="31"/>
      <c r="F275" s="31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30"/>
      <c r="C276" s="31"/>
      <c r="D276" s="31"/>
      <c r="E276" s="31"/>
      <c r="F276" s="31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30"/>
      <c r="C277" s="31"/>
      <c r="D277" s="31"/>
      <c r="E277" s="31"/>
      <c r="F277" s="31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30"/>
      <c r="C278" s="31"/>
      <c r="D278" s="31"/>
      <c r="E278" s="31"/>
      <c r="F278" s="31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30"/>
      <c r="C279" s="31"/>
      <c r="D279" s="31"/>
      <c r="E279" s="31"/>
      <c r="F279" s="31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30"/>
      <c r="C280" s="31"/>
      <c r="D280" s="31"/>
      <c r="E280" s="31"/>
      <c r="F280" s="31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30"/>
      <c r="C281" s="31"/>
      <c r="D281" s="31"/>
      <c r="E281" s="31"/>
      <c r="F281" s="31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30"/>
      <c r="C282" s="31"/>
      <c r="D282" s="31"/>
      <c r="E282" s="31"/>
      <c r="F282" s="31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30"/>
      <c r="C283" s="31"/>
      <c r="D283" s="31"/>
      <c r="E283" s="31"/>
      <c r="F283" s="31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30"/>
      <c r="C284" s="31"/>
      <c r="D284" s="31"/>
      <c r="E284" s="31"/>
      <c r="F284" s="31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30"/>
      <c r="C285" s="31"/>
      <c r="D285" s="31"/>
      <c r="E285" s="31"/>
      <c r="F285" s="31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30"/>
      <c r="C286" s="31"/>
      <c r="D286" s="31"/>
      <c r="E286" s="31"/>
      <c r="F286" s="31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30"/>
      <c r="C287" s="31"/>
      <c r="D287" s="31"/>
      <c r="E287" s="31"/>
      <c r="F287" s="31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30"/>
      <c r="C288" s="31"/>
      <c r="D288" s="31"/>
      <c r="E288" s="31"/>
      <c r="F288" s="31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30"/>
      <c r="C289" s="31"/>
      <c r="D289" s="31"/>
      <c r="E289" s="31"/>
      <c r="F289" s="31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30"/>
      <c r="C290" s="31"/>
      <c r="D290" s="31"/>
      <c r="E290" s="31"/>
      <c r="F290" s="31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30"/>
      <c r="C291" s="31"/>
      <c r="D291" s="31"/>
      <c r="E291" s="31"/>
      <c r="F291" s="31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30"/>
      <c r="C292" s="31"/>
      <c r="D292" s="31"/>
      <c r="E292" s="31"/>
      <c r="F292" s="31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30"/>
      <c r="C293" s="31"/>
      <c r="D293" s="31"/>
      <c r="E293" s="31"/>
      <c r="F293" s="31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30"/>
      <c r="C294" s="31"/>
      <c r="D294" s="31"/>
      <c r="E294" s="31"/>
      <c r="F294" s="31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30"/>
      <c r="C295" s="31"/>
      <c r="D295" s="31"/>
      <c r="E295" s="31"/>
      <c r="F295" s="31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30"/>
      <c r="C296" s="31"/>
      <c r="D296" s="31"/>
      <c r="E296" s="31"/>
      <c r="F296" s="31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30"/>
      <c r="C297" s="31"/>
      <c r="D297" s="31"/>
      <c r="E297" s="31"/>
      <c r="F297" s="31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30"/>
      <c r="C298" s="31"/>
      <c r="D298" s="31"/>
      <c r="E298" s="31"/>
      <c r="F298" s="31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30"/>
      <c r="C299" s="31"/>
      <c r="D299" s="31"/>
      <c r="E299" s="31"/>
      <c r="F299" s="31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30"/>
      <c r="C300" s="31"/>
      <c r="D300" s="31"/>
      <c r="E300" s="31"/>
      <c r="F300" s="31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30"/>
      <c r="C301" s="31"/>
      <c r="D301" s="31"/>
      <c r="E301" s="31"/>
      <c r="F301" s="31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30"/>
      <c r="C302" s="31"/>
      <c r="D302" s="31"/>
      <c r="E302" s="31"/>
      <c r="F302" s="31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30"/>
      <c r="C303" s="31"/>
      <c r="D303" s="31"/>
      <c r="E303" s="31"/>
      <c r="F303" s="31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30"/>
      <c r="C304" s="31"/>
      <c r="D304" s="31"/>
      <c r="E304" s="31"/>
      <c r="F304" s="31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30"/>
      <c r="C305" s="31"/>
      <c r="D305" s="31"/>
      <c r="E305" s="31"/>
      <c r="F305" s="31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30"/>
      <c r="C306" s="31"/>
      <c r="D306" s="31"/>
      <c r="E306" s="31"/>
      <c r="F306" s="31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30"/>
      <c r="C307" s="31"/>
      <c r="D307" s="31"/>
      <c r="E307" s="31"/>
      <c r="F307" s="31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30"/>
      <c r="C308" s="31"/>
      <c r="D308" s="31"/>
      <c r="E308" s="31"/>
      <c r="F308" s="31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30"/>
      <c r="C309" s="31"/>
      <c r="D309" s="31"/>
      <c r="E309" s="31"/>
      <c r="F309" s="31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30"/>
      <c r="C310" s="31"/>
      <c r="D310" s="31"/>
      <c r="E310" s="31"/>
      <c r="F310" s="31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30"/>
      <c r="C311" s="31"/>
      <c r="D311" s="31"/>
      <c r="E311" s="31"/>
      <c r="F311" s="31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30"/>
      <c r="C312" s="31"/>
      <c r="D312" s="31"/>
      <c r="E312" s="31"/>
      <c r="F312" s="31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30"/>
      <c r="C313" s="31"/>
      <c r="D313" s="31"/>
      <c r="E313" s="31"/>
      <c r="F313" s="31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30"/>
      <c r="C314" s="31"/>
      <c r="D314" s="31"/>
      <c r="E314" s="31"/>
      <c r="F314" s="31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30"/>
      <c r="C315" s="31"/>
      <c r="D315" s="31"/>
      <c r="E315" s="31"/>
      <c r="F315" s="31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30"/>
      <c r="C316" s="31"/>
      <c r="D316" s="31"/>
      <c r="E316" s="31"/>
      <c r="F316" s="31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30"/>
      <c r="C317" s="31"/>
      <c r="D317" s="31"/>
      <c r="E317" s="31"/>
      <c r="F317" s="31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30"/>
      <c r="C318" s="31"/>
      <c r="D318" s="31"/>
      <c r="E318" s="31"/>
      <c r="F318" s="31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30"/>
      <c r="C319" s="31"/>
      <c r="D319" s="31"/>
      <c r="E319" s="31"/>
      <c r="F319" s="31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30"/>
      <c r="C320" s="31"/>
      <c r="D320" s="31"/>
      <c r="E320" s="31"/>
      <c r="F320" s="31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30"/>
      <c r="C321" s="31"/>
      <c r="D321" s="31"/>
      <c r="E321" s="31"/>
      <c r="F321" s="31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30"/>
      <c r="C322" s="31"/>
      <c r="D322" s="31"/>
      <c r="E322" s="31"/>
      <c r="F322" s="31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30"/>
      <c r="C323" s="31"/>
      <c r="D323" s="31"/>
      <c r="E323" s="31"/>
      <c r="F323" s="31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30"/>
      <c r="C324" s="31"/>
      <c r="D324" s="31"/>
      <c r="E324" s="31"/>
      <c r="F324" s="31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30"/>
      <c r="C325" s="31"/>
      <c r="D325" s="31"/>
      <c r="E325" s="31"/>
      <c r="F325" s="31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30"/>
      <c r="C326" s="31"/>
      <c r="D326" s="31"/>
      <c r="E326" s="31"/>
      <c r="F326" s="31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30"/>
      <c r="C327" s="31"/>
      <c r="D327" s="31"/>
      <c r="E327" s="31"/>
      <c r="F327" s="31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30"/>
      <c r="C328" s="31"/>
      <c r="D328" s="31"/>
      <c r="E328" s="31"/>
      <c r="F328" s="31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30"/>
      <c r="C329" s="31"/>
      <c r="D329" s="31"/>
      <c r="E329" s="31"/>
      <c r="F329" s="31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30"/>
      <c r="C330" s="31"/>
      <c r="D330" s="31"/>
      <c r="E330" s="31"/>
      <c r="F330" s="31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30"/>
      <c r="C331" s="31"/>
      <c r="D331" s="31"/>
      <c r="E331" s="31"/>
      <c r="F331" s="31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30"/>
      <c r="C332" s="31"/>
      <c r="D332" s="31"/>
      <c r="E332" s="31"/>
      <c r="F332" s="31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30"/>
      <c r="C333" s="31"/>
      <c r="D333" s="31"/>
      <c r="E333" s="31"/>
      <c r="F333" s="31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30"/>
      <c r="C334" s="31"/>
      <c r="D334" s="31"/>
      <c r="E334" s="31"/>
      <c r="F334" s="31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30"/>
      <c r="C335" s="31"/>
      <c r="D335" s="31"/>
      <c r="E335" s="31"/>
      <c r="F335" s="31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30"/>
      <c r="C336" s="31"/>
      <c r="D336" s="31"/>
      <c r="E336" s="31"/>
      <c r="F336" s="31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30"/>
      <c r="C337" s="31"/>
      <c r="D337" s="31"/>
      <c r="E337" s="31"/>
      <c r="F337" s="31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30"/>
      <c r="C338" s="31"/>
      <c r="D338" s="31"/>
      <c r="E338" s="31"/>
      <c r="F338" s="31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30"/>
      <c r="C339" s="31"/>
      <c r="D339" s="31"/>
      <c r="E339" s="31"/>
      <c r="F339" s="31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30"/>
      <c r="C340" s="31"/>
      <c r="D340" s="31"/>
      <c r="E340" s="31"/>
      <c r="F340" s="31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30"/>
      <c r="C341" s="31"/>
      <c r="D341" s="31"/>
      <c r="E341" s="31"/>
      <c r="F341" s="31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30"/>
      <c r="C342" s="31"/>
      <c r="D342" s="31"/>
      <c r="E342" s="31"/>
      <c r="F342" s="31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30"/>
      <c r="C343" s="31"/>
      <c r="D343" s="31"/>
      <c r="E343" s="31"/>
      <c r="F343" s="31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30"/>
      <c r="C344" s="31"/>
      <c r="D344" s="31"/>
      <c r="E344" s="31"/>
      <c r="F344" s="31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30"/>
      <c r="C345" s="31"/>
      <c r="D345" s="31"/>
      <c r="E345" s="31"/>
      <c r="F345" s="31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30"/>
      <c r="C346" s="31"/>
      <c r="D346" s="31"/>
      <c r="E346" s="31"/>
      <c r="F346" s="31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30"/>
      <c r="C347" s="31"/>
      <c r="D347" s="31"/>
      <c r="E347" s="31"/>
      <c r="F347" s="31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30"/>
      <c r="C348" s="31"/>
      <c r="D348" s="31"/>
      <c r="E348" s="31"/>
      <c r="F348" s="31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30"/>
      <c r="C349" s="31"/>
      <c r="D349" s="31"/>
      <c r="E349" s="31"/>
      <c r="F349" s="31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30"/>
      <c r="C350" s="31"/>
      <c r="D350" s="31"/>
      <c r="E350" s="31"/>
      <c r="F350" s="31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30"/>
      <c r="C351" s="31"/>
      <c r="D351" s="31"/>
      <c r="E351" s="31"/>
      <c r="F351" s="31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30"/>
      <c r="C352" s="31"/>
      <c r="D352" s="31"/>
      <c r="E352" s="31"/>
      <c r="F352" s="31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30"/>
      <c r="C353" s="31"/>
      <c r="D353" s="31"/>
      <c r="E353" s="31"/>
      <c r="F353" s="31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30"/>
      <c r="C354" s="31"/>
      <c r="D354" s="31"/>
      <c r="E354" s="31"/>
      <c r="F354" s="31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30"/>
      <c r="C355" s="31"/>
      <c r="D355" s="31"/>
      <c r="E355" s="31"/>
      <c r="F355" s="31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30"/>
      <c r="C356" s="31"/>
      <c r="D356" s="31"/>
      <c r="E356" s="31"/>
      <c r="F356" s="31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30"/>
      <c r="C357" s="31"/>
      <c r="D357" s="31"/>
      <c r="E357" s="31"/>
      <c r="F357" s="31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30"/>
      <c r="C358" s="31"/>
      <c r="D358" s="31"/>
      <c r="E358" s="31"/>
      <c r="F358" s="31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30"/>
      <c r="C359" s="31"/>
      <c r="D359" s="31"/>
      <c r="E359" s="31"/>
      <c r="F359" s="31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30"/>
      <c r="C360" s="31"/>
      <c r="D360" s="31"/>
      <c r="E360" s="31"/>
      <c r="F360" s="31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30"/>
      <c r="C361" s="31"/>
      <c r="D361" s="31"/>
      <c r="E361" s="31"/>
      <c r="F361" s="31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30"/>
      <c r="C362" s="31"/>
      <c r="D362" s="31"/>
      <c r="E362" s="31"/>
      <c r="F362" s="31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30"/>
      <c r="C363" s="31"/>
      <c r="D363" s="31"/>
      <c r="E363" s="31"/>
      <c r="F363" s="31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30"/>
      <c r="C364" s="31"/>
      <c r="D364" s="31"/>
      <c r="E364" s="31"/>
      <c r="F364" s="31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30"/>
      <c r="C365" s="31"/>
      <c r="D365" s="31"/>
      <c r="E365" s="31"/>
      <c r="F365" s="31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30"/>
      <c r="C366" s="31"/>
      <c r="D366" s="31"/>
      <c r="E366" s="31"/>
      <c r="F366" s="31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30"/>
      <c r="C367" s="31"/>
      <c r="D367" s="31"/>
      <c r="E367" s="31"/>
      <c r="F367" s="31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30"/>
      <c r="C368" s="31"/>
      <c r="D368" s="31"/>
      <c r="E368" s="31"/>
      <c r="F368" s="31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30"/>
      <c r="C369" s="31"/>
      <c r="D369" s="31"/>
      <c r="E369" s="31"/>
      <c r="F369" s="31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30"/>
      <c r="C370" s="31"/>
      <c r="D370" s="31"/>
      <c r="E370" s="31"/>
      <c r="F370" s="31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30"/>
      <c r="C371" s="31"/>
      <c r="D371" s="31"/>
      <c r="E371" s="31"/>
      <c r="F371" s="31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30"/>
      <c r="C372" s="31"/>
      <c r="D372" s="31"/>
      <c r="E372" s="31"/>
      <c r="F372" s="31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30"/>
      <c r="C373" s="31"/>
      <c r="D373" s="31"/>
      <c r="E373" s="31"/>
      <c r="F373" s="31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30"/>
      <c r="C374" s="31"/>
      <c r="D374" s="31"/>
      <c r="E374" s="31"/>
      <c r="F374" s="31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30"/>
      <c r="C375" s="31"/>
      <c r="D375" s="31"/>
      <c r="E375" s="31"/>
      <c r="F375" s="31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30"/>
      <c r="C376" s="31"/>
      <c r="D376" s="31"/>
      <c r="E376" s="31"/>
      <c r="F376" s="31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30"/>
      <c r="C377" s="31"/>
      <c r="D377" s="31"/>
      <c r="E377" s="31"/>
      <c r="F377" s="31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30"/>
      <c r="C378" s="31"/>
      <c r="D378" s="31"/>
      <c r="E378" s="31"/>
      <c r="F378" s="31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30"/>
      <c r="C379" s="31"/>
      <c r="D379" s="31"/>
      <c r="E379" s="31"/>
      <c r="F379" s="31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30"/>
      <c r="C380" s="31"/>
      <c r="D380" s="31"/>
      <c r="E380" s="31"/>
      <c r="F380" s="31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30"/>
      <c r="C381" s="31"/>
      <c r="D381" s="31"/>
      <c r="E381" s="31"/>
      <c r="F381" s="31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30"/>
      <c r="C382" s="31"/>
      <c r="D382" s="31"/>
      <c r="E382" s="31"/>
      <c r="F382" s="31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30"/>
      <c r="C383" s="31"/>
      <c r="D383" s="31"/>
      <c r="E383" s="31"/>
      <c r="F383" s="31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30"/>
      <c r="C384" s="31"/>
      <c r="D384" s="31"/>
      <c r="E384" s="31"/>
      <c r="F384" s="31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30"/>
      <c r="C385" s="31"/>
      <c r="D385" s="31"/>
      <c r="E385" s="31"/>
      <c r="F385" s="31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30"/>
      <c r="C386" s="31"/>
      <c r="D386" s="31"/>
      <c r="E386" s="31"/>
      <c r="F386" s="31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30"/>
      <c r="C387" s="31"/>
      <c r="D387" s="31"/>
      <c r="E387" s="31"/>
      <c r="F387" s="31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30"/>
      <c r="C388" s="31"/>
      <c r="D388" s="31"/>
      <c r="E388" s="31"/>
      <c r="F388" s="31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30"/>
      <c r="C389" s="31"/>
      <c r="D389" s="31"/>
      <c r="E389" s="31"/>
      <c r="F389" s="31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30"/>
      <c r="C390" s="31"/>
      <c r="D390" s="31"/>
      <c r="E390" s="31"/>
      <c r="F390" s="31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30"/>
      <c r="C391" s="31"/>
      <c r="D391" s="31"/>
      <c r="E391" s="31"/>
      <c r="F391" s="31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30"/>
      <c r="C392" s="31"/>
      <c r="D392" s="31"/>
      <c r="E392" s="31"/>
      <c r="F392" s="31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30"/>
      <c r="C393" s="31"/>
      <c r="D393" s="31"/>
      <c r="E393" s="31"/>
      <c r="F393" s="31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30"/>
      <c r="C394" s="31"/>
      <c r="D394" s="31"/>
      <c r="E394" s="31"/>
      <c r="F394" s="31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30"/>
      <c r="C395" s="31"/>
      <c r="D395" s="31"/>
      <c r="E395" s="31"/>
      <c r="F395" s="31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30"/>
      <c r="C396" s="31"/>
      <c r="D396" s="31"/>
      <c r="E396" s="31"/>
      <c r="F396" s="31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30"/>
      <c r="C397" s="31"/>
      <c r="D397" s="31"/>
      <c r="E397" s="31"/>
      <c r="F397" s="31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30"/>
      <c r="C398" s="31"/>
      <c r="D398" s="31"/>
      <c r="E398" s="31"/>
      <c r="F398" s="31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30"/>
      <c r="C399" s="31"/>
      <c r="D399" s="31"/>
      <c r="E399" s="31"/>
      <c r="F399" s="31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30"/>
      <c r="C400" s="31"/>
      <c r="D400" s="31"/>
      <c r="E400" s="31"/>
      <c r="F400" s="31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30"/>
      <c r="C401" s="31"/>
      <c r="D401" s="31"/>
      <c r="E401" s="31"/>
      <c r="F401" s="31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30"/>
      <c r="C402" s="31"/>
      <c r="D402" s="31"/>
      <c r="E402" s="31"/>
      <c r="F402" s="31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30"/>
      <c r="C403" s="31"/>
      <c r="D403" s="31"/>
      <c r="E403" s="31"/>
      <c r="F403" s="31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30"/>
      <c r="C404" s="31"/>
      <c r="D404" s="31"/>
      <c r="E404" s="31"/>
      <c r="F404" s="31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30"/>
      <c r="C405" s="31"/>
      <c r="D405" s="31"/>
      <c r="E405" s="31"/>
      <c r="F405" s="31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30"/>
      <c r="C406" s="31"/>
      <c r="D406" s="31"/>
      <c r="E406" s="31"/>
      <c r="F406" s="31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30"/>
      <c r="C407" s="31"/>
      <c r="D407" s="31"/>
      <c r="E407" s="31"/>
      <c r="F407" s="31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30"/>
      <c r="C408" s="31"/>
      <c r="D408" s="31"/>
      <c r="E408" s="31"/>
      <c r="F408" s="31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30"/>
      <c r="C409" s="31"/>
      <c r="D409" s="31"/>
      <c r="E409" s="31"/>
      <c r="F409" s="31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30"/>
      <c r="C410" s="31"/>
      <c r="D410" s="31"/>
      <c r="E410" s="31"/>
      <c r="F410" s="31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30"/>
      <c r="C411" s="31"/>
      <c r="D411" s="31"/>
      <c r="E411" s="31"/>
      <c r="F411" s="31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30"/>
      <c r="C412" s="31"/>
      <c r="D412" s="31"/>
      <c r="E412" s="31"/>
      <c r="F412" s="31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30"/>
      <c r="C413" s="31"/>
      <c r="D413" s="31"/>
      <c r="E413" s="31"/>
      <c r="F413" s="31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30"/>
      <c r="C414" s="31"/>
      <c r="D414" s="31"/>
      <c r="E414" s="31"/>
      <c r="F414" s="31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30"/>
      <c r="C415" s="31"/>
      <c r="D415" s="31"/>
      <c r="E415" s="31"/>
      <c r="F415" s="31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30"/>
      <c r="C416" s="31"/>
      <c r="D416" s="31"/>
      <c r="E416" s="31"/>
      <c r="F416" s="31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30"/>
      <c r="C417" s="31"/>
      <c r="D417" s="31"/>
      <c r="E417" s="31"/>
      <c r="F417" s="31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30"/>
      <c r="C418" s="31"/>
      <c r="D418" s="31"/>
      <c r="E418" s="31"/>
      <c r="F418" s="31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30"/>
      <c r="C419" s="31"/>
      <c r="D419" s="31"/>
      <c r="E419" s="31"/>
      <c r="F419" s="31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30"/>
      <c r="C420" s="31"/>
      <c r="D420" s="31"/>
      <c r="E420" s="31"/>
      <c r="F420" s="31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30"/>
      <c r="C421" s="31"/>
      <c r="D421" s="31"/>
      <c r="E421" s="31"/>
      <c r="F421" s="31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30"/>
      <c r="C422" s="31"/>
      <c r="D422" s="31"/>
      <c r="E422" s="31"/>
      <c r="F422" s="31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30"/>
      <c r="C423" s="31"/>
      <c r="D423" s="31"/>
      <c r="E423" s="31"/>
      <c r="F423" s="31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30"/>
      <c r="C424" s="31"/>
      <c r="D424" s="31"/>
      <c r="E424" s="31"/>
      <c r="F424" s="31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30"/>
      <c r="C425" s="31"/>
      <c r="D425" s="31"/>
      <c r="E425" s="31"/>
      <c r="F425" s="31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30"/>
      <c r="C426" s="31"/>
      <c r="D426" s="31"/>
      <c r="E426" s="31"/>
      <c r="F426" s="31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30"/>
      <c r="C427" s="31"/>
      <c r="D427" s="31"/>
      <c r="E427" s="31"/>
      <c r="F427" s="31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30"/>
      <c r="C428" s="31"/>
      <c r="D428" s="31"/>
      <c r="E428" s="31"/>
      <c r="F428" s="31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30"/>
      <c r="C429" s="31"/>
      <c r="D429" s="31"/>
      <c r="E429" s="31"/>
      <c r="F429" s="31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30"/>
      <c r="C430" s="31"/>
      <c r="D430" s="31"/>
      <c r="E430" s="31"/>
      <c r="F430" s="31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30"/>
      <c r="C431" s="31"/>
      <c r="D431" s="31"/>
      <c r="E431" s="31"/>
      <c r="F431" s="31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30"/>
      <c r="C432" s="31"/>
      <c r="D432" s="31"/>
      <c r="E432" s="31"/>
      <c r="F432" s="31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30"/>
      <c r="C433" s="31"/>
      <c r="D433" s="31"/>
      <c r="E433" s="31"/>
      <c r="F433" s="31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30"/>
      <c r="C434" s="31"/>
      <c r="D434" s="31"/>
      <c r="E434" s="31"/>
      <c r="F434" s="31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30"/>
      <c r="C435" s="31"/>
      <c r="D435" s="31"/>
      <c r="E435" s="31"/>
      <c r="F435" s="31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30"/>
      <c r="C436" s="31"/>
      <c r="D436" s="31"/>
      <c r="E436" s="31"/>
      <c r="F436" s="31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30"/>
      <c r="C437" s="31"/>
      <c r="D437" s="31"/>
      <c r="E437" s="31"/>
      <c r="F437" s="31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30"/>
      <c r="C438" s="31"/>
      <c r="D438" s="31"/>
      <c r="E438" s="31"/>
      <c r="F438" s="31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30"/>
      <c r="C439" s="31"/>
      <c r="D439" s="31"/>
      <c r="E439" s="31"/>
      <c r="F439" s="31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30"/>
      <c r="C440" s="31"/>
      <c r="D440" s="31"/>
      <c r="E440" s="31"/>
      <c r="F440" s="31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30"/>
      <c r="C441" s="31"/>
      <c r="D441" s="31"/>
      <c r="E441" s="31"/>
      <c r="F441" s="31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30"/>
      <c r="C442" s="31"/>
      <c r="D442" s="31"/>
      <c r="E442" s="31"/>
      <c r="F442" s="31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30"/>
      <c r="C443" s="31"/>
      <c r="D443" s="31"/>
      <c r="E443" s="31"/>
      <c r="F443" s="31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30"/>
      <c r="C444" s="31"/>
      <c r="D444" s="31"/>
      <c r="E444" s="31"/>
      <c r="F444" s="31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30"/>
      <c r="C445" s="31"/>
      <c r="D445" s="31"/>
      <c r="E445" s="31"/>
      <c r="F445" s="31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30"/>
      <c r="C446" s="31"/>
      <c r="D446" s="31"/>
      <c r="E446" s="31"/>
      <c r="F446" s="31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30"/>
      <c r="C447" s="31"/>
      <c r="D447" s="31"/>
      <c r="E447" s="31"/>
      <c r="F447" s="31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30"/>
      <c r="C448" s="31"/>
      <c r="D448" s="31"/>
      <c r="E448" s="31"/>
      <c r="F448" s="31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30"/>
      <c r="C449" s="31"/>
      <c r="D449" s="31"/>
      <c r="E449" s="31"/>
      <c r="F449" s="31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30"/>
      <c r="C450" s="31"/>
      <c r="D450" s="31"/>
      <c r="E450" s="31"/>
      <c r="F450" s="31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30"/>
      <c r="C451" s="31"/>
      <c r="D451" s="31"/>
      <c r="E451" s="31"/>
      <c r="F451" s="31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30"/>
      <c r="C452" s="31"/>
      <c r="D452" s="31"/>
      <c r="E452" s="31"/>
      <c r="F452" s="31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30"/>
      <c r="C453" s="31"/>
      <c r="D453" s="31"/>
      <c r="E453" s="31"/>
      <c r="F453" s="31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30"/>
      <c r="C454" s="31"/>
      <c r="D454" s="31"/>
      <c r="E454" s="31"/>
      <c r="F454" s="31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30"/>
      <c r="C455" s="31"/>
      <c r="D455" s="31"/>
      <c r="E455" s="31"/>
      <c r="F455" s="31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30"/>
      <c r="C456" s="31"/>
      <c r="D456" s="31"/>
      <c r="E456" s="31"/>
      <c r="F456" s="31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30"/>
      <c r="C457" s="31"/>
      <c r="D457" s="31"/>
      <c r="E457" s="31"/>
      <c r="F457" s="31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30"/>
      <c r="C458" s="31"/>
      <c r="D458" s="31"/>
      <c r="E458" s="31"/>
      <c r="F458" s="31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30"/>
      <c r="C459" s="31"/>
      <c r="D459" s="31"/>
      <c r="E459" s="31"/>
      <c r="F459" s="31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30"/>
      <c r="C460" s="31"/>
      <c r="D460" s="31"/>
      <c r="E460" s="31"/>
      <c r="F460" s="31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30"/>
      <c r="C461" s="31"/>
      <c r="D461" s="31"/>
      <c r="E461" s="31"/>
      <c r="F461" s="31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30"/>
      <c r="C462" s="31"/>
      <c r="D462" s="31"/>
      <c r="E462" s="31"/>
      <c r="F462" s="31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30"/>
      <c r="C463" s="31"/>
      <c r="D463" s="31"/>
      <c r="E463" s="31"/>
      <c r="F463" s="31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30"/>
      <c r="C464" s="31"/>
      <c r="D464" s="31"/>
      <c r="E464" s="31"/>
      <c r="F464" s="31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30"/>
      <c r="C465" s="31"/>
      <c r="D465" s="31"/>
      <c r="E465" s="31"/>
      <c r="F465" s="31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30"/>
      <c r="C466" s="31"/>
      <c r="D466" s="31"/>
      <c r="E466" s="31"/>
      <c r="F466" s="31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30"/>
      <c r="C467" s="31"/>
      <c r="D467" s="31"/>
      <c r="E467" s="31"/>
      <c r="F467" s="31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30"/>
      <c r="C468" s="31"/>
      <c r="D468" s="31"/>
      <c r="E468" s="31"/>
      <c r="F468" s="31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30"/>
      <c r="C469" s="31"/>
      <c r="D469" s="31"/>
      <c r="E469" s="31"/>
      <c r="F469" s="31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30"/>
      <c r="C470" s="31"/>
      <c r="D470" s="31"/>
      <c r="E470" s="31"/>
      <c r="F470" s="31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30"/>
      <c r="C471" s="31"/>
      <c r="D471" s="31"/>
      <c r="E471" s="31"/>
      <c r="F471" s="31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30"/>
      <c r="C472" s="31"/>
      <c r="D472" s="31"/>
      <c r="E472" s="31"/>
      <c r="F472" s="31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30"/>
      <c r="C473" s="31"/>
      <c r="D473" s="31"/>
      <c r="E473" s="31"/>
      <c r="F473" s="31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30"/>
      <c r="C474" s="31"/>
      <c r="D474" s="31"/>
      <c r="E474" s="31"/>
      <c r="F474" s="31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30"/>
      <c r="C475" s="31"/>
      <c r="D475" s="31"/>
      <c r="E475" s="31"/>
      <c r="F475" s="31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30"/>
      <c r="C476" s="31"/>
      <c r="D476" s="31"/>
      <c r="E476" s="31"/>
      <c r="F476" s="31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30"/>
      <c r="C477" s="31"/>
      <c r="D477" s="31"/>
      <c r="E477" s="31"/>
      <c r="F477" s="31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30"/>
      <c r="C478" s="31"/>
      <c r="D478" s="31"/>
      <c r="E478" s="31"/>
      <c r="F478" s="31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30"/>
      <c r="C479" s="31"/>
      <c r="D479" s="31"/>
      <c r="E479" s="31"/>
      <c r="F479" s="31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30"/>
      <c r="C480" s="31"/>
      <c r="D480" s="31"/>
      <c r="E480" s="31"/>
      <c r="F480" s="31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30"/>
      <c r="C481" s="31"/>
      <c r="D481" s="31"/>
      <c r="E481" s="31"/>
      <c r="F481" s="31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30"/>
      <c r="C482" s="31"/>
      <c r="D482" s="31"/>
      <c r="E482" s="31"/>
      <c r="F482" s="31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30"/>
      <c r="C483" s="31"/>
      <c r="D483" s="31"/>
      <c r="E483" s="31"/>
      <c r="F483" s="31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30"/>
      <c r="C484" s="31"/>
      <c r="D484" s="31"/>
      <c r="E484" s="31"/>
      <c r="F484" s="31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30"/>
      <c r="C485" s="31"/>
      <c r="D485" s="31"/>
      <c r="E485" s="31"/>
      <c r="F485" s="31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30"/>
      <c r="C486" s="31"/>
      <c r="D486" s="31"/>
      <c r="E486" s="31"/>
      <c r="F486" s="31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30"/>
      <c r="C487" s="31"/>
      <c r="D487" s="31"/>
      <c r="E487" s="31"/>
      <c r="F487" s="31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30"/>
      <c r="C488" s="31"/>
      <c r="D488" s="31"/>
      <c r="E488" s="31"/>
      <c r="F488" s="31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30"/>
      <c r="C489" s="31"/>
      <c r="D489" s="31"/>
      <c r="E489" s="31"/>
      <c r="F489" s="31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30"/>
      <c r="C490" s="31"/>
      <c r="D490" s="31"/>
      <c r="E490" s="31"/>
      <c r="F490" s="31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30"/>
      <c r="C491" s="31"/>
      <c r="D491" s="31"/>
      <c r="E491" s="31"/>
      <c r="F491" s="31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30"/>
      <c r="C492" s="31"/>
      <c r="D492" s="31"/>
      <c r="E492" s="31"/>
      <c r="F492" s="31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30"/>
      <c r="C493" s="31"/>
      <c r="D493" s="31"/>
      <c r="E493" s="31"/>
      <c r="F493" s="31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30"/>
      <c r="C494" s="31"/>
      <c r="D494" s="31"/>
      <c r="E494" s="31"/>
      <c r="F494" s="31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30"/>
      <c r="C495" s="31"/>
      <c r="D495" s="31"/>
      <c r="E495" s="31"/>
      <c r="F495" s="31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30"/>
      <c r="C496" s="31"/>
      <c r="D496" s="31"/>
      <c r="E496" s="31"/>
      <c r="F496" s="31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30"/>
      <c r="C497" s="31"/>
      <c r="D497" s="31"/>
      <c r="E497" s="31"/>
      <c r="F497" s="31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30"/>
      <c r="C498" s="31"/>
      <c r="D498" s="31"/>
      <c r="E498" s="31"/>
      <c r="F498" s="31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30"/>
      <c r="C499" s="31"/>
      <c r="D499" s="31"/>
      <c r="E499" s="31"/>
      <c r="F499" s="31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30"/>
      <c r="C500" s="31"/>
      <c r="D500" s="31"/>
      <c r="E500" s="31"/>
      <c r="F500" s="31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30"/>
      <c r="C501" s="31"/>
      <c r="D501" s="31"/>
      <c r="E501" s="31"/>
      <c r="F501" s="31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30"/>
      <c r="C502" s="31"/>
      <c r="D502" s="31"/>
      <c r="E502" s="31"/>
      <c r="F502" s="31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30"/>
      <c r="C503" s="31"/>
      <c r="D503" s="31"/>
      <c r="E503" s="31"/>
      <c r="F503" s="31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30"/>
      <c r="C504" s="31"/>
      <c r="D504" s="31"/>
      <c r="E504" s="31"/>
      <c r="F504" s="31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30"/>
      <c r="C505" s="31"/>
      <c r="D505" s="31"/>
      <c r="E505" s="31"/>
      <c r="F505" s="31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30"/>
      <c r="C506" s="31"/>
      <c r="D506" s="31"/>
      <c r="E506" s="31"/>
      <c r="F506" s="31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30"/>
      <c r="C507" s="31"/>
      <c r="D507" s="31"/>
      <c r="E507" s="31"/>
      <c r="F507" s="31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30"/>
      <c r="C508" s="31"/>
      <c r="D508" s="31"/>
      <c r="E508" s="31"/>
      <c r="F508" s="31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30"/>
      <c r="C509" s="31"/>
      <c r="D509" s="31"/>
      <c r="E509" s="31"/>
      <c r="F509" s="31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30"/>
      <c r="C510" s="31"/>
      <c r="D510" s="31"/>
      <c r="E510" s="31"/>
      <c r="F510" s="31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30"/>
      <c r="C511" s="31"/>
      <c r="D511" s="31"/>
      <c r="E511" s="31"/>
      <c r="F511" s="31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30"/>
      <c r="C512" s="31"/>
      <c r="D512" s="31"/>
      <c r="E512" s="31"/>
      <c r="F512" s="31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30"/>
      <c r="C513" s="31"/>
      <c r="D513" s="31"/>
      <c r="E513" s="31"/>
      <c r="F513" s="31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30"/>
      <c r="C514" s="31"/>
      <c r="D514" s="31"/>
      <c r="E514" s="31"/>
      <c r="F514" s="31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30"/>
      <c r="C515" s="31"/>
      <c r="D515" s="31"/>
      <c r="E515" s="31"/>
      <c r="F515" s="31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30"/>
      <c r="C516" s="31"/>
      <c r="D516" s="31"/>
      <c r="E516" s="31"/>
      <c r="F516" s="31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30"/>
      <c r="C517" s="31"/>
      <c r="D517" s="31"/>
      <c r="E517" s="31"/>
      <c r="F517" s="31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30"/>
      <c r="C518" s="31"/>
      <c r="D518" s="31"/>
      <c r="E518" s="31"/>
      <c r="F518" s="31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30"/>
      <c r="C519" s="31"/>
      <c r="D519" s="31"/>
      <c r="E519" s="31"/>
      <c r="F519" s="31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30"/>
      <c r="C520" s="31"/>
      <c r="D520" s="31"/>
      <c r="E520" s="31"/>
      <c r="F520" s="31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30"/>
      <c r="C521" s="31"/>
      <c r="D521" s="31"/>
      <c r="E521" s="31"/>
      <c r="F521" s="31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30"/>
      <c r="C522" s="31"/>
      <c r="D522" s="31"/>
      <c r="E522" s="31"/>
      <c r="F522" s="31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30"/>
      <c r="C523" s="31"/>
      <c r="D523" s="31"/>
      <c r="E523" s="31"/>
      <c r="F523" s="31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30"/>
      <c r="C524" s="31"/>
      <c r="D524" s="31"/>
      <c r="E524" s="31"/>
      <c r="F524" s="31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30"/>
      <c r="C525" s="31"/>
      <c r="D525" s="31"/>
      <c r="E525" s="31"/>
      <c r="F525" s="31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30"/>
      <c r="C526" s="31"/>
      <c r="D526" s="31"/>
      <c r="E526" s="31"/>
      <c r="F526" s="31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30"/>
      <c r="C527" s="31"/>
      <c r="D527" s="31"/>
      <c r="E527" s="31"/>
      <c r="F527" s="31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30"/>
      <c r="C528" s="31"/>
      <c r="D528" s="31"/>
      <c r="E528" s="31"/>
      <c r="F528" s="31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30"/>
      <c r="C529" s="31"/>
      <c r="D529" s="31"/>
      <c r="E529" s="31"/>
      <c r="F529" s="31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30"/>
      <c r="C530" s="31"/>
      <c r="D530" s="31"/>
      <c r="E530" s="31"/>
      <c r="F530" s="31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30"/>
      <c r="C531" s="31"/>
      <c r="D531" s="31"/>
      <c r="E531" s="31"/>
      <c r="F531" s="31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30"/>
      <c r="C532" s="31"/>
      <c r="D532" s="31"/>
      <c r="E532" s="31"/>
      <c r="F532" s="31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30"/>
      <c r="C533" s="31"/>
      <c r="D533" s="31"/>
      <c r="E533" s="31"/>
      <c r="F533" s="31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30"/>
      <c r="C534" s="31"/>
      <c r="D534" s="31"/>
      <c r="E534" s="31"/>
      <c r="F534" s="31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30"/>
      <c r="C535" s="31"/>
      <c r="D535" s="31"/>
      <c r="E535" s="31"/>
      <c r="F535" s="31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30"/>
      <c r="C536" s="31"/>
      <c r="D536" s="31"/>
      <c r="E536" s="31"/>
      <c r="F536" s="31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30"/>
      <c r="C537" s="31"/>
      <c r="D537" s="31"/>
      <c r="E537" s="31"/>
      <c r="F537" s="31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30"/>
      <c r="C538" s="31"/>
      <c r="D538" s="31"/>
      <c r="E538" s="31"/>
      <c r="F538" s="31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30"/>
      <c r="C539" s="31"/>
      <c r="D539" s="31"/>
      <c r="E539" s="31"/>
      <c r="F539" s="31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30"/>
      <c r="C540" s="31"/>
      <c r="D540" s="31"/>
      <c r="E540" s="31"/>
      <c r="F540" s="31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30"/>
      <c r="C541" s="31"/>
      <c r="D541" s="31"/>
      <c r="E541" s="31"/>
      <c r="F541" s="31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30"/>
      <c r="C542" s="31"/>
      <c r="D542" s="31"/>
      <c r="E542" s="31"/>
      <c r="F542" s="31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30"/>
      <c r="C543" s="31"/>
      <c r="D543" s="31"/>
      <c r="E543" s="31"/>
      <c r="F543" s="31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30"/>
      <c r="C544" s="31"/>
      <c r="D544" s="31"/>
      <c r="E544" s="31"/>
      <c r="F544" s="31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30"/>
      <c r="C545" s="31"/>
      <c r="D545" s="31"/>
      <c r="E545" s="31"/>
      <c r="F545" s="31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30"/>
      <c r="C546" s="31"/>
      <c r="D546" s="31"/>
      <c r="E546" s="31"/>
      <c r="F546" s="31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30"/>
      <c r="C547" s="31"/>
      <c r="D547" s="31"/>
      <c r="E547" s="31"/>
      <c r="F547" s="31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30"/>
      <c r="C548" s="31"/>
      <c r="D548" s="31"/>
      <c r="E548" s="31"/>
      <c r="F548" s="31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30"/>
      <c r="C549" s="31"/>
      <c r="D549" s="31"/>
      <c r="E549" s="31"/>
      <c r="F549" s="31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30"/>
      <c r="C550" s="31"/>
      <c r="D550" s="31"/>
      <c r="E550" s="31"/>
      <c r="F550" s="31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30"/>
      <c r="C551" s="31"/>
      <c r="D551" s="31"/>
      <c r="E551" s="31"/>
      <c r="F551" s="31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30"/>
      <c r="C552" s="31"/>
      <c r="D552" s="31"/>
      <c r="E552" s="31"/>
      <c r="F552" s="31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30"/>
      <c r="C553" s="31"/>
      <c r="D553" s="31"/>
      <c r="E553" s="31"/>
      <c r="F553" s="31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30"/>
      <c r="C554" s="31"/>
      <c r="D554" s="31"/>
      <c r="E554" s="31"/>
      <c r="F554" s="31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30"/>
      <c r="C555" s="31"/>
      <c r="D555" s="31"/>
      <c r="E555" s="31"/>
      <c r="F555" s="31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30"/>
      <c r="C556" s="31"/>
      <c r="D556" s="31"/>
      <c r="E556" s="31"/>
      <c r="F556" s="31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30"/>
      <c r="C557" s="31"/>
      <c r="D557" s="31"/>
      <c r="E557" s="31"/>
      <c r="F557" s="31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30"/>
      <c r="C558" s="31"/>
      <c r="D558" s="31"/>
      <c r="E558" s="31"/>
      <c r="F558" s="31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30"/>
      <c r="C559" s="31"/>
      <c r="D559" s="31"/>
      <c r="E559" s="31"/>
      <c r="F559" s="31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30"/>
      <c r="C560" s="31"/>
      <c r="D560" s="31"/>
      <c r="E560" s="31"/>
      <c r="F560" s="31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30"/>
      <c r="C561" s="31"/>
      <c r="D561" s="31"/>
      <c r="E561" s="31"/>
      <c r="F561" s="31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30"/>
      <c r="C562" s="31"/>
      <c r="D562" s="31"/>
      <c r="E562" s="31"/>
      <c r="F562" s="31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30"/>
      <c r="C563" s="31"/>
      <c r="D563" s="31"/>
      <c r="E563" s="31"/>
      <c r="F563" s="31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30"/>
      <c r="C564" s="31"/>
      <c r="D564" s="31"/>
      <c r="E564" s="31"/>
      <c r="F564" s="31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30"/>
      <c r="C565" s="31"/>
      <c r="D565" s="31"/>
      <c r="E565" s="31"/>
      <c r="F565" s="31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30"/>
      <c r="C566" s="31"/>
      <c r="D566" s="31"/>
      <c r="E566" s="31"/>
      <c r="F566" s="31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30"/>
      <c r="C567" s="31"/>
      <c r="D567" s="31"/>
      <c r="E567" s="31"/>
      <c r="F567" s="31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30"/>
      <c r="C568" s="31"/>
      <c r="D568" s="31"/>
      <c r="E568" s="31"/>
      <c r="F568" s="31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30"/>
      <c r="C569" s="31"/>
      <c r="D569" s="31"/>
      <c r="E569" s="31"/>
      <c r="F569" s="31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30"/>
      <c r="C570" s="31"/>
      <c r="D570" s="31"/>
      <c r="E570" s="31"/>
      <c r="F570" s="31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30"/>
      <c r="C571" s="31"/>
      <c r="D571" s="31"/>
      <c r="E571" s="31"/>
      <c r="F571" s="31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30"/>
      <c r="C572" s="31"/>
      <c r="D572" s="31"/>
      <c r="E572" s="31"/>
      <c r="F572" s="31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30"/>
      <c r="C573" s="31"/>
      <c r="D573" s="31"/>
      <c r="E573" s="31"/>
      <c r="F573" s="31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30"/>
      <c r="C574" s="31"/>
      <c r="D574" s="31"/>
      <c r="E574" s="31"/>
      <c r="F574" s="31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30"/>
      <c r="C575" s="31"/>
      <c r="D575" s="31"/>
      <c r="E575" s="31"/>
      <c r="F575" s="31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30"/>
      <c r="C576" s="31"/>
      <c r="D576" s="31"/>
      <c r="E576" s="31"/>
      <c r="F576" s="31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30"/>
      <c r="C577" s="31"/>
      <c r="D577" s="31"/>
      <c r="E577" s="31"/>
      <c r="F577" s="31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30"/>
      <c r="C578" s="31"/>
      <c r="D578" s="31"/>
      <c r="E578" s="31"/>
      <c r="F578" s="31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30"/>
      <c r="C579" s="31"/>
      <c r="D579" s="31"/>
      <c r="E579" s="31"/>
      <c r="F579" s="31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30"/>
      <c r="C580" s="31"/>
      <c r="D580" s="31"/>
      <c r="E580" s="31"/>
      <c r="F580" s="31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30"/>
      <c r="C581" s="31"/>
      <c r="D581" s="31"/>
      <c r="E581" s="31"/>
      <c r="F581" s="31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30"/>
      <c r="C582" s="31"/>
      <c r="D582" s="31"/>
      <c r="E582" s="31"/>
      <c r="F582" s="31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30"/>
      <c r="C583" s="31"/>
      <c r="D583" s="31"/>
      <c r="E583" s="31"/>
      <c r="F583" s="31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30"/>
      <c r="C584" s="31"/>
      <c r="D584" s="31"/>
      <c r="E584" s="31"/>
      <c r="F584" s="31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30"/>
      <c r="C585" s="31"/>
      <c r="D585" s="31"/>
      <c r="E585" s="31"/>
      <c r="F585" s="31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30"/>
      <c r="C586" s="31"/>
      <c r="D586" s="31"/>
      <c r="E586" s="31"/>
      <c r="F586" s="31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30"/>
      <c r="C587" s="31"/>
      <c r="D587" s="31"/>
      <c r="E587" s="31"/>
      <c r="F587" s="31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30"/>
      <c r="C588" s="31"/>
      <c r="D588" s="31"/>
      <c r="E588" s="31"/>
      <c r="F588" s="31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30"/>
      <c r="C589" s="31"/>
      <c r="D589" s="31"/>
      <c r="E589" s="31"/>
      <c r="F589" s="31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30"/>
      <c r="C590" s="31"/>
      <c r="D590" s="31"/>
      <c r="E590" s="31"/>
      <c r="F590" s="31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30"/>
      <c r="C591" s="31"/>
      <c r="D591" s="31"/>
      <c r="E591" s="31"/>
      <c r="F591" s="31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30"/>
      <c r="C592" s="31"/>
      <c r="D592" s="31"/>
      <c r="E592" s="31"/>
      <c r="F592" s="31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30"/>
      <c r="C593" s="31"/>
      <c r="D593" s="31"/>
      <c r="E593" s="31"/>
      <c r="F593" s="31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30"/>
      <c r="C594" s="31"/>
      <c r="D594" s="31"/>
      <c r="E594" s="31"/>
      <c r="F594" s="31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30"/>
      <c r="C595" s="31"/>
      <c r="D595" s="31"/>
      <c r="E595" s="31"/>
      <c r="F595" s="31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30"/>
      <c r="C596" s="31"/>
      <c r="D596" s="31"/>
      <c r="E596" s="31"/>
      <c r="F596" s="31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30"/>
      <c r="C597" s="31"/>
      <c r="D597" s="31"/>
      <c r="E597" s="31"/>
      <c r="F597" s="31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30"/>
      <c r="C598" s="31"/>
      <c r="D598" s="31"/>
      <c r="E598" s="31"/>
      <c r="F598" s="31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30"/>
      <c r="C599" s="31"/>
      <c r="D599" s="31"/>
      <c r="E599" s="31"/>
      <c r="F599" s="31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30"/>
      <c r="C600" s="31"/>
      <c r="D600" s="31"/>
      <c r="E600" s="31"/>
      <c r="F600" s="31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30"/>
      <c r="C601" s="31"/>
      <c r="D601" s="31"/>
      <c r="E601" s="31"/>
      <c r="F601" s="31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30"/>
      <c r="C602" s="31"/>
      <c r="D602" s="31"/>
      <c r="E602" s="31"/>
      <c r="F602" s="31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30"/>
      <c r="C603" s="31"/>
      <c r="D603" s="31"/>
      <c r="E603" s="31"/>
      <c r="F603" s="31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30"/>
      <c r="C604" s="31"/>
      <c r="D604" s="31"/>
      <c r="E604" s="31"/>
      <c r="F604" s="31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30"/>
      <c r="C605" s="31"/>
      <c r="D605" s="31"/>
      <c r="E605" s="31"/>
      <c r="F605" s="31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30"/>
      <c r="C606" s="31"/>
      <c r="D606" s="31"/>
      <c r="E606" s="31"/>
      <c r="F606" s="31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30"/>
      <c r="C607" s="31"/>
      <c r="D607" s="31"/>
      <c r="E607" s="31"/>
      <c r="F607" s="31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30"/>
      <c r="C608" s="31"/>
      <c r="D608" s="31"/>
      <c r="E608" s="31"/>
      <c r="F608" s="31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30"/>
      <c r="C609" s="31"/>
      <c r="D609" s="31"/>
      <c r="E609" s="31"/>
      <c r="F609" s="31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30"/>
      <c r="C610" s="31"/>
      <c r="D610" s="31"/>
      <c r="E610" s="31"/>
      <c r="F610" s="31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30"/>
      <c r="C611" s="31"/>
      <c r="D611" s="31"/>
      <c r="E611" s="31"/>
      <c r="F611" s="31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30"/>
      <c r="C612" s="31"/>
      <c r="D612" s="31"/>
      <c r="E612" s="31"/>
      <c r="F612" s="31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30"/>
      <c r="C613" s="31"/>
      <c r="D613" s="31"/>
      <c r="E613" s="31"/>
      <c r="F613" s="31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30"/>
      <c r="C614" s="31"/>
      <c r="D614" s="31"/>
      <c r="E614" s="31"/>
      <c r="F614" s="31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30"/>
      <c r="C615" s="31"/>
      <c r="D615" s="31"/>
      <c r="E615" s="31"/>
      <c r="F615" s="31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30"/>
      <c r="C616" s="31"/>
      <c r="D616" s="31"/>
      <c r="E616" s="31"/>
      <c r="F616" s="31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30"/>
      <c r="C617" s="31"/>
      <c r="D617" s="31"/>
      <c r="E617" s="31"/>
      <c r="F617" s="31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30"/>
      <c r="C618" s="31"/>
      <c r="D618" s="31"/>
      <c r="E618" s="31"/>
      <c r="F618" s="31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30"/>
      <c r="C619" s="31"/>
      <c r="D619" s="31"/>
      <c r="E619" s="31"/>
      <c r="F619" s="31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30"/>
      <c r="C620" s="31"/>
      <c r="D620" s="31"/>
      <c r="E620" s="31"/>
      <c r="F620" s="31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30"/>
      <c r="C621" s="31"/>
      <c r="D621" s="31"/>
      <c r="E621" s="31"/>
      <c r="F621" s="31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30"/>
      <c r="C622" s="31"/>
      <c r="D622" s="31"/>
      <c r="E622" s="31"/>
      <c r="F622" s="31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30"/>
      <c r="C623" s="31"/>
      <c r="D623" s="31"/>
      <c r="E623" s="31"/>
      <c r="F623" s="31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30"/>
      <c r="C624" s="31"/>
      <c r="D624" s="31"/>
      <c r="E624" s="31"/>
      <c r="F624" s="31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30"/>
      <c r="C625" s="31"/>
      <c r="D625" s="31"/>
      <c r="E625" s="31"/>
      <c r="F625" s="31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30"/>
      <c r="C626" s="31"/>
      <c r="D626" s="31"/>
      <c r="E626" s="31"/>
      <c r="F626" s="31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30"/>
      <c r="C627" s="31"/>
      <c r="D627" s="31"/>
      <c r="E627" s="31"/>
      <c r="F627" s="31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30"/>
      <c r="C628" s="31"/>
      <c r="D628" s="31"/>
      <c r="E628" s="31"/>
      <c r="F628" s="31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30"/>
      <c r="C629" s="31"/>
      <c r="D629" s="31"/>
      <c r="E629" s="31"/>
      <c r="F629" s="31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30"/>
      <c r="C630" s="31"/>
      <c r="D630" s="31"/>
      <c r="E630" s="31"/>
      <c r="F630" s="31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30"/>
      <c r="C631" s="31"/>
      <c r="D631" s="31"/>
      <c r="E631" s="31"/>
      <c r="F631" s="31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30"/>
      <c r="C632" s="31"/>
      <c r="D632" s="31"/>
      <c r="E632" s="31"/>
      <c r="F632" s="31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30"/>
      <c r="C633" s="31"/>
      <c r="D633" s="31"/>
      <c r="E633" s="31"/>
      <c r="F633" s="31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30"/>
      <c r="C634" s="31"/>
      <c r="D634" s="31"/>
      <c r="E634" s="31"/>
      <c r="F634" s="31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30"/>
      <c r="C635" s="31"/>
      <c r="D635" s="31"/>
      <c r="E635" s="31"/>
      <c r="F635" s="31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30"/>
      <c r="C636" s="31"/>
      <c r="D636" s="31"/>
      <c r="E636" s="31"/>
      <c r="F636" s="31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30"/>
      <c r="C637" s="31"/>
      <c r="D637" s="31"/>
      <c r="E637" s="31"/>
      <c r="F637" s="31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30"/>
      <c r="C638" s="31"/>
      <c r="D638" s="31"/>
      <c r="E638" s="31"/>
      <c r="F638" s="31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30"/>
      <c r="C639" s="31"/>
      <c r="D639" s="31"/>
      <c r="E639" s="31"/>
      <c r="F639" s="31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30"/>
      <c r="C640" s="31"/>
      <c r="D640" s="31"/>
      <c r="E640" s="31"/>
      <c r="F640" s="31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30"/>
      <c r="C641" s="31"/>
      <c r="D641" s="31"/>
      <c r="E641" s="31"/>
      <c r="F641" s="31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30"/>
      <c r="C642" s="31"/>
      <c r="D642" s="31"/>
      <c r="E642" s="31"/>
      <c r="F642" s="31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30"/>
      <c r="C643" s="31"/>
      <c r="D643" s="31"/>
      <c r="E643" s="31"/>
      <c r="F643" s="31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30"/>
      <c r="C644" s="31"/>
      <c r="D644" s="31"/>
      <c r="E644" s="31"/>
      <c r="F644" s="31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30"/>
      <c r="C645" s="31"/>
      <c r="D645" s="31"/>
      <c r="E645" s="31"/>
      <c r="F645" s="31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30"/>
      <c r="C646" s="31"/>
      <c r="D646" s="31"/>
      <c r="E646" s="31"/>
      <c r="F646" s="31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30"/>
      <c r="C647" s="31"/>
      <c r="D647" s="31"/>
      <c r="E647" s="31"/>
      <c r="F647" s="31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30"/>
      <c r="C648" s="31"/>
      <c r="D648" s="31"/>
      <c r="E648" s="31"/>
      <c r="F648" s="31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30"/>
      <c r="C649" s="31"/>
      <c r="D649" s="31"/>
      <c r="E649" s="31"/>
      <c r="F649" s="31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30"/>
      <c r="C650" s="31"/>
      <c r="D650" s="31"/>
      <c r="E650" s="31"/>
      <c r="F650" s="31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30"/>
      <c r="C651" s="31"/>
      <c r="D651" s="31"/>
      <c r="E651" s="31"/>
      <c r="F651" s="31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30"/>
      <c r="C652" s="31"/>
      <c r="D652" s="31"/>
      <c r="E652" s="31"/>
      <c r="F652" s="31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30"/>
      <c r="C653" s="31"/>
      <c r="D653" s="31"/>
      <c r="E653" s="31"/>
      <c r="F653" s="31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30"/>
      <c r="C654" s="31"/>
      <c r="D654" s="31"/>
      <c r="E654" s="31"/>
      <c r="F654" s="31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30"/>
      <c r="C655" s="31"/>
      <c r="D655" s="31"/>
      <c r="E655" s="31"/>
      <c r="F655" s="31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30"/>
      <c r="C656" s="31"/>
      <c r="D656" s="31"/>
      <c r="E656" s="31"/>
      <c r="F656" s="31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30"/>
      <c r="C657" s="31"/>
      <c r="D657" s="31"/>
      <c r="E657" s="31"/>
      <c r="F657" s="31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30"/>
      <c r="C658" s="31"/>
      <c r="D658" s="31"/>
      <c r="E658" s="31"/>
      <c r="F658" s="31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30"/>
      <c r="C659" s="31"/>
      <c r="D659" s="31"/>
      <c r="E659" s="31"/>
      <c r="F659" s="31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30"/>
      <c r="C660" s="31"/>
      <c r="D660" s="31"/>
      <c r="E660" s="31"/>
      <c r="F660" s="31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30"/>
      <c r="C661" s="31"/>
      <c r="D661" s="31"/>
      <c r="E661" s="31"/>
      <c r="F661" s="31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30"/>
      <c r="C662" s="31"/>
      <c r="D662" s="31"/>
      <c r="E662" s="31"/>
      <c r="F662" s="31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30"/>
      <c r="C663" s="31"/>
      <c r="D663" s="31"/>
      <c r="E663" s="31"/>
      <c r="F663" s="31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30"/>
      <c r="C664" s="31"/>
      <c r="D664" s="31"/>
      <c r="E664" s="31"/>
      <c r="F664" s="31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30"/>
      <c r="C665" s="31"/>
      <c r="D665" s="31"/>
      <c r="E665" s="31"/>
      <c r="F665" s="31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30"/>
      <c r="C666" s="31"/>
      <c r="D666" s="31"/>
      <c r="E666" s="31"/>
      <c r="F666" s="31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30"/>
      <c r="C667" s="31"/>
      <c r="D667" s="31"/>
      <c r="E667" s="31"/>
      <c r="F667" s="31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30"/>
      <c r="C668" s="31"/>
      <c r="D668" s="31"/>
      <c r="E668" s="31"/>
      <c r="F668" s="31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30"/>
      <c r="C669" s="31"/>
      <c r="D669" s="31"/>
      <c r="E669" s="31"/>
      <c r="F669" s="31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30"/>
      <c r="C670" s="31"/>
      <c r="D670" s="31"/>
      <c r="E670" s="31"/>
      <c r="F670" s="31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30"/>
      <c r="C671" s="31"/>
      <c r="D671" s="31"/>
      <c r="E671" s="31"/>
      <c r="F671" s="31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30"/>
      <c r="C672" s="31"/>
      <c r="D672" s="31"/>
      <c r="E672" s="31"/>
      <c r="F672" s="31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30"/>
      <c r="C673" s="31"/>
      <c r="D673" s="31"/>
      <c r="E673" s="31"/>
      <c r="F673" s="31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30"/>
      <c r="C674" s="31"/>
      <c r="D674" s="31"/>
      <c r="E674" s="31"/>
      <c r="F674" s="31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30"/>
      <c r="C675" s="31"/>
      <c r="D675" s="31"/>
      <c r="E675" s="31"/>
      <c r="F675" s="31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30"/>
      <c r="C676" s="31"/>
      <c r="D676" s="31"/>
      <c r="E676" s="31"/>
      <c r="F676" s="31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30"/>
      <c r="C677" s="31"/>
      <c r="D677" s="31"/>
      <c r="E677" s="31"/>
      <c r="F677" s="31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30"/>
      <c r="C678" s="31"/>
      <c r="D678" s="31"/>
      <c r="E678" s="31"/>
      <c r="F678" s="31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30"/>
      <c r="C679" s="31"/>
      <c r="D679" s="31"/>
      <c r="E679" s="31"/>
      <c r="F679" s="31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30"/>
      <c r="C680" s="31"/>
      <c r="D680" s="31"/>
      <c r="E680" s="31"/>
      <c r="F680" s="31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30"/>
      <c r="C681" s="31"/>
      <c r="D681" s="31"/>
      <c r="E681" s="31"/>
      <c r="F681" s="31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30"/>
      <c r="C682" s="31"/>
      <c r="D682" s="31"/>
      <c r="E682" s="31"/>
      <c r="F682" s="31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30"/>
      <c r="C683" s="31"/>
      <c r="D683" s="31"/>
      <c r="E683" s="31"/>
      <c r="F683" s="31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30"/>
      <c r="C684" s="31"/>
      <c r="D684" s="31"/>
      <c r="E684" s="31"/>
      <c r="F684" s="31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30"/>
      <c r="C685" s="31"/>
      <c r="D685" s="31"/>
      <c r="E685" s="31"/>
      <c r="F685" s="31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30"/>
      <c r="C686" s="31"/>
      <c r="D686" s="31"/>
      <c r="E686" s="31"/>
      <c r="F686" s="31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30"/>
      <c r="C687" s="31"/>
      <c r="D687" s="31"/>
      <c r="E687" s="31"/>
      <c r="F687" s="31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30"/>
      <c r="C688" s="31"/>
      <c r="D688" s="31"/>
      <c r="E688" s="31"/>
      <c r="F688" s="31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30"/>
      <c r="C689" s="31"/>
      <c r="D689" s="31"/>
      <c r="E689" s="31"/>
      <c r="F689" s="31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30"/>
      <c r="C690" s="31"/>
      <c r="D690" s="31"/>
      <c r="E690" s="31"/>
      <c r="F690" s="31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30"/>
      <c r="C691" s="31"/>
      <c r="D691" s="31"/>
      <c r="E691" s="31"/>
      <c r="F691" s="31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30"/>
      <c r="C692" s="31"/>
      <c r="D692" s="31"/>
      <c r="E692" s="31"/>
      <c r="F692" s="31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30"/>
      <c r="C693" s="31"/>
      <c r="D693" s="31"/>
      <c r="E693" s="31"/>
      <c r="F693" s="31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30"/>
      <c r="C694" s="31"/>
      <c r="D694" s="31"/>
      <c r="E694" s="31"/>
      <c r="F694" s="31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30"/>
      <c r="C695" s="31"/>
      <c r="D695" s="31"/>
      <c r="E695" s="31"/>
      <c r="F695" s="31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30"/>
      <c r="C696" s="31"/>
      <c r="D696" s="31"/>
      <c r="E696" s="31"/>
      <c r="F696" s="31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30"/>
      <c r="C697" s="31"/>
      <c r="D697" s="31"/>
      <c r="E697" s="31"/>
      <c r="F697" s="31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30"/>
      <c r="C698" s="31"/>
      <c r="D698" s="31"/>
      <c r="E698" s="31"/>
      <c r="F698" s="31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30"/>
      <c r="C699" s="31"/>
      <c r="D699" s="31"/>
      <c r="E699" s="31"/>
      <c r="F699" s="31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30"/>
      <c r="C700" s="31"/>
      <c r="D700" s="31"/>
      <c r="E700" s="31"/>
      <c r="F700" s="31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30"/>
      <c r="C701" s="31"/>
      <c r="D701" s="31"/>
      <c r="E701" s="31"/>
      <c r="F701" s="31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30"/>
      <c r="C702" s="31"/>
      <c r="D702" s="31"/>
      <c r="E702" s="31"/>
      <c r="F702" s="31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30"/>
      <c r="C703" s="31"/>
      <c r="D703" s="31"/>
      <c r="E703" s="31"/>
      <c r="F703" s="31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30"/>
      <c r="C704" s="31"/>
      <c r="D704" s="31"/>
      <c r="E704" s="31"/>
      <c r="F704" s="31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30"/>
      <c r="C705" s="31"/>
      <c r="D705" s="31"/>
      <c r="E705" s="31"/>
      <c r="F705" s="31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30"/>
      <c r="C706" s="31"/>
      <c r="D706" s="31"/>
      <c r="E706" s="31"/>
      <c r="F706" s="31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30"/>
      <c r="C707" s="31"/>
      <c r="D707" s="31"/>
      <c r="E707" s="31"/>
      <c r="F707" s="31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30"/>
      <c r="C708" s="31"/>
      <c r="D708" s="31"/>
      <c r="E708" s="31"/>
      <c r="F708" s="31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30"/>
      <c r="C709" s="31"/>
      <c r="D709" s="31"/>
      <c r="E709" s="31"/>
      <c r="F709" s="31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30"/>
      <c r="C710" s="31"/>
      <c r="D710" s="31"/>
      <c r="E710" s="31"/>
      <c r="F710" s="31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30"/>
      <c r="C711" s="31"/>
      <c r="D711" s="31"/>
      <c r="E711" s="31"/>
      <c r="F711" s="31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30"/>
      <c r="C712" s="31"/>
      <c r="D712" s="31"/>
      <c r="E712" s="31"/>
      <c r="F712" s="31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30"/>
      <c r="C713" s="31"/>
      <c r="D713" s="31"/>
      <c r="E713" s="31"/>
      <c r="F713" s="31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30"/>
      <c r="C714" s="31"/>
      <c r="D714" s="31"/>
      <c r="E714" s="31"/>
      <c r="F714" s="31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30"/>
      <c r="C715" s="31"/>
      <c r="D715" s="31"/>
      <c r="E715" s="31"/>
      <c r="F715" s="31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30"/>
      <c r="C716" s="31"/>
      <c r="D716" s="31"/>
      <c r="E716" s="31"/>
      <c r="F716" s="31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30"/>
      <c r="C717" s="31"/>
      <c r="D717" s="31"/>
      <c r="E717" s="31"/>
      <c r="F717" s="31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30"/>
      <c r="C718" s="31"/>
      <c r="D718" s="31"/>
      <c r="E718" s="31"/>
      <c r="F718" s="31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30"/>
      <c r="C719" s="31"/>
      <c r="D719" s="31"/>
      <c r="E719" s="31"/>
      <c r="F719" s="31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30"/>
      <c r="C720" s="31"/>
      <c r="D720" s="31"/>
      <c r="E720" s="31"/>
      <c r="F720" s="31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30"/>
      <c r="C721" s="31"/>
      <c r="D721" s="31"/>
      <c r="E721" s="31"/>
      <c r="F721" s="31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30"/>
      <c r="C722" s="31"/>
      <c r="D722" s="31"/>
      <c r="E722" s="31"/>
      <c r="F722" s="31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30"/>
      <c r="C723" s="31"/>
      <c r="D723" s="31"/>
      <c r="E723" s="31"/>
      <c r="F723" s="31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30"/>
      <c r="C724" s="31"/>
      <c r="D724" s="31"/>
      <c r="E724" s="31"/>
      <c r="F724" s="31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30"/>
      <c r="C725" s="31"/>
      <c r="D725" s="31"/>
      <c r="E725" s="31"/>
      <c r="F725" s="31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30"/>
      <c r="C726" s="31"/>
      <c r="D726" s="31"/>
      <c r="E726" s="31"/>
      <c r="F726" s="31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30"/>
      <c r="C727" s="31"/>
      <c r="D727" s="31"/>
      <c r="E727" s="31"/>
      <c r="F727" s="31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30"/>
      <c r="C728" s="31"/>
      <c r="D728" s="31"/>
      <c r="E728" s="31"/>
      <c r="F728" s="31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30"/>
      <c r="C729" s="31"/>
      <c r="D729" s="31"/>
      <c r="E729" s="31"/>
      <c r="F729" s="31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30"/>
      <c r="C730" s="31"/>
      <c r="D730" s="31"/>
      <c r="E730" s="31"/>
      <c r="F730" s="31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30"/>
      <c r="C731" s="31"/>
      <c r="D731" s="31"/>
      <c r="E731" s="31"/>
      <c r="F731" s="31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30"/>
      <c r="C732" s="31"/>
      <c r="D732" s="31"/>
      <c r="E732" s="31"/>
      <c r="F732" s="31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30"/>
      <c r="C733" s="31"/>
      <c r="D733" s="31"/>
      <c r="E733" s="31"/>
      <c r="F733" s="31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30"/>
      <c r="C734" s="31"/>
      <c r="D734" s="31"/>
      <c r="E734" s="31"/>
      <c r="F734" s="31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30"/>
      <c r="C735" s="31"/>
      <c r="D735" s="31"/>
      <c r="E735" s="31"/>
      <c r="F735" s="31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30"/>
      <c r="C736" s="31"/>
      <c r="D736" s="31"/>
      <c r="E736" s="31"/>
      <c r="F736" s="31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30"/>
      <c r="C737" s="31"/>
      <c r="D737" s="31"/>
      <c r="E737" s="31"/>
      <c r="F737" s="31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30"/>
      <c r="C738" s="31"/>
      <c r="D738" s="31"/>
      <c r="E738" s="31"/>
      <c r="F738" s="31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30"/>
      <c r="C739" s="31"/>
      <c r="D739" s="31"/>
      <c r="E739" s="31"/>
      <c r="F739" s="31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30"/>
      <c r="C740" s="31"/>
      <c r="D740" s="31"/>
      <c r="E740" s="31"/>
      <c r="F740" s="31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30"/>
      <c r="C741" s="31"/>
      <c r="D741" s="31"/>
      <c r="E741" s="31"/>
      <c r="F741" s="31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30"/>
      <c r="C742" s="31"/>
      <c r="D742" s="31"/>
      <c r="E742" s="31"/>
      <c r="F742" s="31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30"/>
      <c r="C743" s="31"/>
      <c r="D743" s="31"/>
      <c r="E743" s="31"/>
      <c r="F743" s="31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30"/>
      <c r="C744" s="31"/>
      <c r="D744" s="31"/>
      <c r="E744" s="31"/>
      <c r="F744" s="31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30"/>
      <c r="C745" s="31"/>
      <c r="D745" s="31"/>
      <c r="E745" s="31"/>
      <c r="F745" s="31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30"/>
      <c r="C746" s="31"/>
      <c r="D746" s="31"/>
      <c r="E746" s="31"/>
      <c r="F746" s="31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30"/>
      <c r="C747" s="31"/>
      <c r="D747" s="31"/>
      <c r="E747" s="31"/>
      <c r="F747" s="31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30"/>
      <c r="C748" s="31"/>
      <c r="D748" s="31"/>
      <c r="E748" s="31"/>
      <c r="F748" s="31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30"/>
      <c r="C749" s="31"/>
      <c r="D749" s="31"/>
      <c r="E749" s="31"/>
      <c r="F749" s="31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30"/>
      <c r="C750" s="31"/>
      <c r="D750" s="31"/>
      <c r="E750" s="31"/>
      <c r="F750" s="31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30"/>
      <c r="C751" s="31"/>
      <c r="D751" s="31"/>
      <c r="E751" s="31"/>
      <c r="F751" s="31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30"/>
      <c r="C752" s="31"/>
      <c r="D752" s="31"/>
      <c r="E752" s="31"/>
      <c r="F752" s="31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30"/>
      <c r="C753" s="31"/>
      <c r="D753" s="31"/>
      <c r="E753" s="31"/>
      <c r="F753" s="31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30"/>
      <c r="C754" s="31"/>
      <c r="D754" s="31"/>
      <c r="E754" s="31"/>
      <c r="F754" s="31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30"/>
      <c r="C755" s="31"/>
      <c r="D755" s="31"/>
      <c r="E755" s="31"/>
      <c r="F755" s="31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30"/>
      <c r="C756" s="31"/>
      <c r="D756" s="31"/>
      <c r="E756" s="31"/>
      <c r="F756" s="31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30"/>
      <c r="C757" s="31"/>
      <c r="D757" s="31"/>
      <c r="E757" s="31"/>
      <c r="F757" s="31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30"/>
      <c r="C758" s="31"/>
      <c r="D758" s="31"/>
      <c r="E758" s="31"/>
      <c r="F758" s="31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30"/>
      <c r="C759" s="31"/>
      <c r="D759" s="31"/>
      <c r="E759" s="31"/>
      <c r="F759" s="31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30"/>
      <c r="C760" s="31"/>
      <c r="D760" s="31"/>
      <c r="E760" s="31"/>
      <c r="F760" s="31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30"/>
      <c r="C761" s="31"/>
      <c r="D761" s="31"/>
      <c r="E761" s="31"/>
      <c r="F761" s="31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30"/>
      <c r="C762" s="31"/>
      <c r="D762" s="31"/>
      <c r="E762" s="31"/>
      <c r="F762" s="31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30"/>
      <c r="C763" s="31"/>
      <c r="D763" s="31"/>
      <c r="E763" s="31"/>
      <c r="F763" s="31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30"/>
      <c r="C764" s="31"/>
      <c r="D764" s="31"/>
      <c r="E764" s="31"/>
      <c r="F764" s="31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30"/>
      <c r="C765" s="31"/>
      <c r="D765" s="31"/>
      <c r="E765" s="31"/>
      <c r="F765" s="31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30"/>
      <c r="C766" s="31"/>
      <c r="D766" s="31"/>
      <c r="E766" s="31"/>
      <c r="F766" s="31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30"/>
      <c r="C767" s="31"/>
      <c r="D767" s="31"/>
      <c r="E767" s="31"/>
      <c r="F767" s="31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30"/>
      <c r="C768" s="31"/>
      <c r="D768" s="31"/>
      <c r="E768" s="31"/>
      <c r="F768" s="31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30"/>
      <c r="C769" s="31"/>
      <c r="D769" s="31"/>
      <c r="E769" s="31"/>
      <c r="F769" s="31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30"/>
      <c r="C770" s="31"/>
      <c r="D770" s="31"/>
      <c r="E770" s="31"/>
      <c r="F770" s="31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30"/>
      <c r="C771" s="31"/>
      <c r="D771" s="31"/>
      <c r="E771" s="31"/>
      <c r="F771" s="31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30"/>
      <c r="C772" s="31"/>
      <c r="D772" s="31"/>
      <c r="E772" s="31"/>
      <c r="F772" s="31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30"/>
      <c r="C773" s="31"/>
      <c r="D773" s="31"/>
      <c r="E773" s="31"/>
      <c r="F773" s="31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30"/>
      <c r="C774" s="31"/>
      <c r="D774" s="31"/>
      <c r="E774" s="31"/>
      <c r="F774" s="31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30"/>
      <c r="C775" s="31"/>
      <c r="D775" s="31"/>
      <c r="E775" s="31"/>
      <c r="F775" s="31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30"/>
      <c r="C776" s="31"/>
      <c r="D776" s="31"/>
      <c r="E776" s="31"/>
      <c r="F776" s="31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30"/>
      <c r="C777" s="31"/>
      <c r="D777" s="31"/>
      <c r="E777" s="31"/>
      <c r="F777" s="31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30"/>
      <c r="C778" s="31"/>
      <c r="D778" s="31"/>
      <c r="E778" s="31"/>
      <c r="F778" s="31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30"/>
      <c r="C779" s="31"/>
      <c r="D779" s="31"/>
      <c r="E779" s="31"/>
      <c r="F779" s="31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30"/>
      <c r="C780" s="31"/>
      <c r="D780" s="31"/>
      <c r="E780" s="31"/>
      <c r="F780" s="31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30"/>
      <c r="C781" s="31"/>
      <c r="D781" s="31"/>
      <c r="E781" s="31"/>
      <c r="F781" s="31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30"/>
      <c r="C782" s="31"/>
      <c r="D782" s="31"/>
      <c r="E782" s="31"/>
      <c r="F782" s="31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30"/>
      <c r="C783" s="31"/>
      <c r="D783" s="31"/>
      <c r="E783" s="31"/>
      <c r="F783" s="31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30"/>
      <c r="C784" s="31"/>
      <c r="D784" s="31"/>
      <c r="E784" s="31"/>
      <c r="F784" s="31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30"/>
      <c r="C785" s="31"/>
      <c r="D785" s="31"/>
      <c r="E785" s="31"/>
      <c r="F785" s="31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30"/>
      <c r="C786" s="31"/>
      <c r="D786" s="31"/>
      <c r="E786" s="31"/>
      <c r="F786" s="31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30"/>
      <c r="C787" s="31"/>
      <c r="D787" s="31"/>
      <c r="E787" s="31"/>
      <c r="F787" s="31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30"/>
      <c r="C788" s="31"/>
      <c r="D788" s="31"/>
      <c r="E788" s="31"/>
      <c r="F788" s="31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30"/>
      <c r="C789" s="31"/>
      <c r="D789" s="31"/>
      <c r="E789" s="31"/>
      <c r="F789" s="31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30"/>
      <c r="C790" s="31"/>
      <c r="D790" s="31"/>
      <c r="E790" s="31"/>
      <c r="F790" s="31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30"/>
      <c r="C791" s="31"/>
      <c r="D791" s="31"/>
      <c r="E791" s="31"/>
      <c r="F791" s="31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30"/>
      <c r="C792" s="31"/>
      <c r="D792" s="31"/>
      <c r="E792" s="31"/>
      <c r="F792" s="31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30"/>
      <c r="C793" s="31"/>
      <c r="D793" s="31"/>
      <c r="E793" s="31"/>
      <c r="F793" s="31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30"/>
      <c r="C794" s="31"/>
      <c r="D794" s="31"/>
      <c r="E794" s="31"/>
      <c r="F794" s="31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30"/>
      <c r="C795" s="31"/>
      <c r="D795" s="31"/>
      <c r="E795" s="31"/>
      <c r="F795" s="31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30"/>
      <c r="C796" s="31"/>
      <c r="D796" s="31"/>
      <c r="E796" s="31"/>
      <c r="F796" s="31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30"/>
      <c r="C797" s="31"/>
      <c r="D797" s="31"/>
      <c r="E797" s="31"/>
      <c r="F797" s="31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30"/>
      <c r="C798" s="31"/>
      <c r="D798" s="31"/>
      <c r="E798" s="31"/>
      <c r="F798" s="31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30"/>
      <c r="C799" s="31"/>
      <c r="D799" s="31"/>
      <c r="E799" s="31"/>
      <c r="F799" s="31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30"/>
      <c r="C800" s="31"/>
      <c r="D800" s="31"/>
      <c r="E800" s="31"/>
      <c r="F800" s="31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5">
      <c r="A801" s="7"/>
      <c r="B801" s="30"/>
      <c r="C801" s="31"/>
      <c r="D801" s="31"/>
      <c r="E801" s="31"/>
      <c r="F801" s="31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5">
      <c r="A802" s="7"/>
      <c r="B802" s="30"/>
      <c r="C802" s="31"/>
      <c r="D802" s="31"/>
      <c r="E802" s="31"/>
      <c r="F802" s="31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5">
      <c r="A803" s="7"/>
      <c r="B803" s="30"/>
      <c r="C803" s="31"/>
      <c r="D803" s="31"/>
      <c r="E803" s="31"/>
      <c r="F803" s="31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5">
      <c r="A804" s="7"/>
      <c r="B804" s="30"/>
      <c r="C804" s="31"/>
      <c r="D804" s="31"/>
      <c r="E804" s="31"/>
      <c r="F804" s="31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5">
      <c r="A805" s="7"/>
      <c r="B805" s="30"/>
      <c r="C805" s="31"/>
      <c r="D805" s="31"/>
      <c r="E805" s="31"/>
      <c r="F805" s="31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5">
      <c r="A806" s="7"/>
      <c r="B806" s="30"/>
      <c r="C806" s="31"/>
      <c r="D806" s="31"/>
      <c r="E806" s="31"/>
      <c r="F806" s="31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5">
      <c r="A807" s="7"/>
      <c r="B807" s="30"/>
      <c r="C807" s="31"/>
      <c r="D807" s="31"/>
      <c r="E807" s="31"/>
      <c r="F807" s="31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5">
      <c r="A808" s="7"/>
      <c r="B808" s="30"/>
      <c r="C808" s="31"/>
      <c r="D808" s="31"/>
      <c r="E808" s="31"/>
      <c r="F808" s="31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5">
      <c r="A809" s="7"/>
      <c r="B809" s="30"/>
      <c r="C809" s="31"/>
      <c r="D809" s="31"/>
      <c r="E809" s="31"/>
      <c r="F809" s="31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5">
      <c r="A810" s="7"/>
      <c r="B810" s="30"/>
      <c r="C810" s="31"/>
      <c r="D810" s="31"/>
      <c r="E810" s="31"/>
      <c r="F810" s="31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5">
      <c r="A811" s="7"/>
      <c r="B811" s="30"/>
      <c r="C811" s="31"/>
      <c r="D811" s="31"/>
      <c r="E811" s="31"/>
      <c r="F811" s="31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5">
      <c r="A812" s="7"/>
      <c r="B812" s="30"/>
      <c r="C812" s="31"/>
      <c r="D812" s="31"/>
      <c r="E812" s="31"/>
      <c r="F812" s="31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5">
      <c r="A813" s="7"/>
      <c r="B813" s="30"/>
      <c r="C813" s="31"/>
      <c r="D813" s="31"/>
      <c r="E813" s="31"/>
      <c r="F813" s="31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5">
      <c r="A814" s="7"/>
      <c r="B814" s="30"/>
      <c r="C814" s="31"/>
      <c r="D814" s="31"/>
      <c r="E814" s="31"/>
      <c r="F814" s="31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5">
      <c r="A815" s="7"/>
      <c r="B815" s="30"/>
      <c r="C815" s="31"/>
      <c r="D815" s="31"/>
      <c r="E815" s="31"/>
      <c r="F815" s="31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5">
      <c r="A816" s="7"/>
      <c r="B816" s="30"/>
      <c r="C816" s="31"/>
      <c r="D816" s="31"/>
      <c r="E816" s="31"/>
      <c r="F816" s="31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5">
      <c r="A817" s="7"/>
      <c r="B817" s="30"/>
      <c r="C817" s="31"/>
      <c r="D817" s="31"/>
      <c r="E817" s="31"/>
      <c r="F817" s="31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5">
      <c r="A818" s="7"/>
      <c r="B818" s="30"/>
      <c r="C818" s="31"/>
      <c r="D818" s="31"/>
      <c r="E818" s="31"/>
      <c r="F818" s="31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5">
      <c r="A819" s="7"/>
      <c r="B819" s="30"/>
      <c r="C819" s="31"/>
      <c r="D819" s="31"/>
      <c r="E819" s="31"/>
      <c r="F819" s="31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5">
      <c r="A820" s="7"/>
      <c r="B820" s="30"/>
      <c r="C820" s="31"/>
      <c r="D820" s="31"/>
      <c r="E820" s="31"/>
      <c r="F820" s="31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5">
      <c r="A821" s="7"/>
      <c r="B821" s="30"/>
      <c r="C821" s="31"/>
      <c r="D821" s="31"/>
      <c r="E821" s="31"/>
      <c r="F821" s="31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5">
      <c r="A822" s="7"/>
      <c r="B822" s="30"/>
      <c r="C822" s="31"/>
      <c r="D822" s="31"/>
      <c r="E822" s="31"/>
      <c r="F822" s="31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5">
      <c r="A823" s="7"/>
      <c r="B823" s="30"/>
      <c r="C823" s="31"/>
      <c r="D823" s="31"/>
      <c r="E823" s="31"/>
      <c r="F823" s="31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5">
      <c r="A824" s="7"/>
      <c r="B824" s="30"/>
      <c r="C824" s="31"/>
      <c r="D824" s="31"/>
      <c r="E824" s="31"/>
      <c r="F824" s="31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5">
      <c r="A825" s="7"/>
      <c r="B825" s="30"/>
      <c r="C825" s="31"/>
      <c r="D825" s="31"/>
      <c r="E825" s="31"/>
      <c r="F825" s="31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5">
      <c r="A826" s="7"/>
      <c r="B826" s="30"/>
      <c r="C826" s="31"/>
      <c r="D826" s="31"/>
      <c r="E826" s="31"/>
      <c r="F826" s="31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5">
      <c r="A827" s="7"/>
      <c r="B827" s="30"/>
      <c r="C827" s="31"/>
      <c r="D827" s="31"/>
      <c r="E827" s="31"/>
      <c r="F827" s="31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5">
      <c r="A828" s="7"/>
      <c r="B828" s="30"/>
      <c r="C828" s="31"/>
      <c r="D828" s="31"/>
      <c r="E828" s="31"/>
      <c r="F828" s="31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5">
      <c r="A829" s="7"/>
      <c r="B829" s="30"/>
      <c r="C829" s="31"/>
      <c r="D829" s="31"/>
      <c r="E829" s="31"/>
      <c r="F829" s="31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5">
      <c r="A830" s="7"/>
      <c r="B830" s="30"/>
      <c r="C830" s="31"/>
      <c r="D830" s="31"/>
      <c r="E830" s="31"/>
      <c r="F830" s="31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5">
      <c r="A831" s="7"/>
      <c r="B831" s="30"/>
      <c r="C831" s="31"/>
      <c r="D831" s="31"/>
      <c r="E831" s="31"/>
      <c r="F831" s="31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5">
      <c r="A832" s="7"/>
      <c r="B832" s="30"/>
      <c r="C832" s="31"/>
      <c r="D832" s="31"/>
      <c r="E832" s="31"/>
      <c r="F832" s="31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5">
      <c r="A833" s="7"/>
      <c r="B833" s="30"/>
      <c r="C833" s="31"/>
      <c r="D833" s="31"/>
      <c r="E833" s="31"/>
      <c r="F833" s="31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5">
      <c r="A834" s="7"/>
      <c r="B834" s="30"/>
      <c r="C834" s="31"/>
      <c r="D834" s="31"/>
      <c r="E834" s="31"/>
      <c r="F834" s="31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5">
      <c r="A835" s="7"/>
      <c r="B835" s="30"/>
      <c r="C835" s="31"/>
      <c r="D835" s="31"/>
      <c r="E835" s="31"/>
      <c r="F835" s="31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5">
      <c r="A836" s="7"/>
      <c r="B836" s="30"/>
      <c r="C836" s="31"/>
      <c r="D836" s="31"/>
      <c r="E836" s="31"/>
      <c r="F836" s="31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5">
      <c r="A837" s="7"/>
      <c r="B837" s="30"/>
      <c r="C837" s="31"/>
      <c r="D837" s="31"/>
      <c r="E837" s="31"/>
      <c r="F837" s="31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5">
      <c r="A838" s="7"/>
      <c r="B838" s="30"/>
      <c r="C838" s="31"/>
      <c r="D838" s="31"/>
      <c r="E838" s="31"/>
      <c r="F838" s="31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5">
      <c r="A839" s="7"/>
      <c r="B839" s="30"/>
      <c r="C839" s="31"/>
      <c r="D839" s="31"/>
      <c r="E839" s="31"/>
      <c r="F839" s="31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5">
      <c r="A840" s="7"/>
      <c r="B840" s="30"/>
      <c r="C840" s="31"/>
      <c r="D840" s="31"/>
      <c r="E840" s="31"/>
      <c r="F840" s="31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5">
      <c r="A841" s="7"/>
      <c r="B841" s="30"/>
      <c r="C841" s="31"/>
      <c r="D841" s="31"/>
      <c r="E841" s="31"/>
      <c r="F841" s="31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5">
      <c r="A842" s="7"/>
      <c r="B842" s="30"/>
      <c r="C842" s="31"/>
      <c r="D842" s="31"/>
      <c r="E842" s="31"/>
      <c r="F842" s="31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5">
      <c r="A843" s="7"/>
      <c r="B843" s="30"/>
      <c r="C843" s="31"/>
      <c r="D843" s="31"/>
      <c r="E843" s="31"/>
      <c r="F843" s="31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5">
      <c r="A844" s="7"/>
      <c r="B844" s="30"/>
      <c r="C844" s="31"/>
      <c r="D844" s="31"/>
      <c r="E844" s="31"/>
      <c r="F844" s="31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5">
      <c r="A845" s="7"/>
      <c r="B845" s="30"/>
      <c r="C845" s="31"/>
      <c r="D845" s="31"/>
      <c r="E845" s="31"/>
      <c r="F845" s="31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5">
      <c r="A846" s="7"/>
      <c r="B846" s="30"/>
      <c r="C846" s="31"/>
      <c r="D846" s="31"/>
      <c r="E846" s="31"/>
      <c r="F846" s="31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5">
      <c r="A847" s="7"/>
      <c r="B847" s="30"/>
      <c r="C847" s="31"/>
      <c r="D847" s="31"/>
      <c r="E847" s="31"/>
      <c r="F847" s="31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5">
      <c r="A848" s="7"/>
      <c r="B848" s="30"/>
      <c r="C848" s="31"/>
      <c r="D848" s="31"/>
      <c r="E848" s="31"/>
      <c r="F848" s="31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5">
      <c r="A849" s="7"/>
      <c r="B849" s="30"/>
      <c r="C849" s="31"/>
      <c r="D849" s="31"/>
      <c r="E849" s="31"/>
      <c r="F849" s="31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5">
      <c r="A850" s="7"/>
      <c r="B850" s="30"/>
      <c r="C850" s="31"/>
      <c r="D850" s="31"/>
      <c r="E850" s="31"/>
      <c r="F850" s="31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5">
      <c r="A851" s="7"/>
      <c r="B851" s="30"/>
      <c r="C851" s="31"/>
      <c r="D851" s="31"/>
      <c r="E851" s="31"/>
      <c r="F851" s="31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5">
      <c r="A852" s="7"/>
      <c r="B852" s="30"/>
      <c r="C852" s="31"/>
      <c r="D852" s="31"/>
      <c r="E852" s="31"/>
      <c r="F852" s="31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5">
      <c r="A853" s="7"/>
      <c r="B853" s="30"/>
      <c r="C853" s="31"/>
      <c r="D853" s="31"/>
      <c r="E853" s="31"/>
      <c r="F853" s="31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5">
      <c r="A854" s="7"/>
      <c r="B854" s="30"/>
      <c r="C854" s="31"/>
      <c r="D854" s="31"/>
      <c r="E854" s="31"/>
      <c r="F854" s="31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5">
      <c r="A855" s="7"/>
      <c r="B855" s="30"/>
      <c r="C855" s="31"/>
      <c r="D855" s="31"/>
      <c r="E855" s="31"/>
      <c r="F855" s="31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5">
      <c r="A856" s="7"/>
      <c r="B856" s="30"/>
      <c r="C856" s="31"/>
      <c r="D856" s="31"/>
      <c r="E856" s="31"/>
      <c r="F856" s="31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5">
      <c r="A857" s="7"/>
      <c r="B857" s="30"/>
      <c r="C857" s="31"/>
      <c r="D857" s="31"/>
      <c r="E857" s="31"/>
      <c r="F857" s="31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5">
      <c r="A858" s="7"/>
      <c r="B858" s="30"/>
      <c r="C858" s="31"/>
      <c r="D858" s="31"/>
      <c r="E858" s="31"/>
      <c r="F858" s="31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5">
      <c r="A859" s="7"/>
      <c r="B859" s="30"/>
      <c r="C859" s="31"/>
      <c r="D859" s="31"/>
      <c r="E859" s="31"/>
      <c r="F859" s="31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5">
      <c r="A860" s="7"/>
      <c r="B860" s="30"/>
      <c r="C860" s="31"/>
      <c r="D860" s="31"/>
      <c r="E860" s="31"/>
      <c r="F860" s="31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5">
      <c r="A861" s="7"/>
      <c r="B861" s="30"/>
      <c r="C861" s="31"/>
      <c r="D861" s="31"/>
      <c r="E861" s="31"/>
      <c r="F861" s="31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5">
      <c r="A862" s="7"/>
      <c r="B862" s="30"/>
      <c r="C862" s="31"/>
      <c r="D862" s="31"/>
      <c r="E862" s="31"/>
      <c r="F862" s="31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5">
      <c r="A863" s="7"/>
      <c r="B863" s="30"/>
      <c r="C863" s="31"/>
      <c r="D863" s="31"/>
      <c r="E863" s="31"/>
      <c r="F863" s="31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5">
      <c r="A864" s="7"/>
      <c r="B864" s="30"/>
      <c r="C864" s="31"/>
      <c r="D864" s="31"/>
      <c r="E864" s="31"/>
      <c r="F864" s="31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5">
      <c r="A865" s="7"/>
      <c r="B865" s="30"/>
      <c r="C865" s="31"/>
      <c r="D865" s="31"/>
      <c r="E865" s="31"/>
      <c r="F865" s="31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5">
      <c r="A866" s="7"/>
      <c r="B866" s="30"/>
      <c r="C866" s="31"/>
      <c r="D866" s="31"/>
      <c r="E866" s="31"/>
      <c r="F866" s="31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5">
      <c r="A867" s="7"/>
      <c r="B867" s="30"/>
      <c r="C867" s="31"/>
      <c r="D867" s="31"/>
      <c r="E867" s="31"/>
      <c r="F867" s="31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5">
      <c r="A868" s="7"/>
      <c r="B868" s="30"/>
      <c r="C868" s="31"/>
      <c r="D868" s="31"/>
      <c r="E868" s="31"/>
      <c r="F868" s="31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5">
      <c r="A869" s="7"/>
      <c r="B869" s="30"/>
      <c r="C869" s="31"/>
      <c r="D869" s="31"/>
      <c r="E869" s="31"/>
      <c r="F869" s="31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5">
      <c r="A870" s="7"/>
      <c r="B870" s="30"/>
      <c r="C870" s="31"/>
      <c r="D870" s="31"/>
      <c r="E870" s="31"/>
      <c r="F870" s="31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5">
      <c r="A871" s="7"/>
      <c r="B871" s="30"/>
      <c r="C871" s="31"/>
      <c r="D871" s="31"/>
      <c r="E871" s="31"/>
      <c r="F871" s="31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5">
      <c r="A872" s="7"/>
      <c r="B872" s="30"/>
      <c r="C872" s="31"/>
      <c r="D872" s="31"/>
      <c r="E872" s="31"/>
      <c r="F872" s="31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5">
      <c r="A873" s="7"/>
      <c r="B873" s="30"/>
      <c r="C873" s="31"/>
      <c r="D873" s="31"/>
      <c r="E873" s="31"/>
      <c r="F873" s="31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5">
      <c r="A874" s="7"/>
      <c r="B874" s="30"/>
      <c r="C874" s="31"/>
      <c r="D874" s="31"/>
      <c r="E874" s="31"/>
      <c r="F874" s="31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5">
      <c r="A875" s="7"/>
      <c r="B875" s="30"/>
      <c r="C875" s="31"/>
      <c r="D875" s="31"/>
      <c r="E875" s="31"/>
      <c r="F875" s="31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5">
      <c r="A876" s="7"/>
      <c r="B876" s="30"/>
      <c r="C876" s="31"/>
      <c r="D876" s="31"/>
      <c r="E876" s="31"/>
      <c r="F876" s="31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5">
      <c r="A877" s="7"/>
      <c r="B877" s="30"/>
      <c r="C877" s="31"/>
      <c r="D877" s="31"/>
      <c r="E877" s="31"/>
      <c r="F877" s="31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5">
      <c r="A878" s="7"/>
      <c r="B878" s="30"/>
      <c r="C878" s="31"/>
      <c r="D878" s="31"/>
      <c r="E878" s="31"/>
      <c r="F878" s="31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5">
      <c r="A879" s="7"/>
      <c r="B879" s="30"/>
      <c r="C879" s="31"/>
      <c r="D879" s="31"/>
      <c r="E879" s="31"/>
      <c r="F879" s="31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5">
      <c r="A880" s="7"/>
      <c r="B880" s="30"/>
      <c r="C880" s="31"/>
      <c r="D880" s="31"/>
      <c r="E880" s="31"/>
      <c r="F880" s="31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5">
      <c r="A881" s="7"/>
      <c r="B881" s="30"/>
      <c r="C881" s="31"/>
      <c r="D881" s="31"/>
      <c r="E881" s="31"/>
      <c r="F881" s="31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5">
      <c r="A882" s="7"/>
      <c r="B882" s="30"/>
      <c r="C882" s="31"/>
      <c r="D882" s="31"/>
      <c r="E882" s="31"/>
      <c r="F882" s="31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5">
      <c r="A883" s="7"/>
      <c r="B883" s="30"/>
      <c r="C883" s="31"/>
      <c r="D883" s="31"/>
      <c r="E883" s="31"/>
      <c r="F883" s="31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5">
      <c r="A884" s="7"/>
      <c r="B884" s="30"/>
      <c r="C884" s="31"/>
      <c r="D884" s="31"/>
      <c r="E884" s="31"/>
      <c r="F884" s="31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5">
      <c r="A885" s="7"/>
      <c r="B885" s="30"/>
      <c r="C885" s="31"/>
      <c r="D885" s="31"/>
      <c r="E885" s="31"/>
      <c r="F885" s="31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5">
      <c r="A886" s="7"/>
      <c r="B886" s="30"/>
      <c r="C886" s="31"/>
      <c r="D886" s="31"/>
      <c r="E886" s="31"/>
      <c r="F886" s="31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5">
      <c r="A887" s="7"/>
      <c r="B887" s="30"/>
      <c r="C887" s="31"/>
      <c r="D887" s="31"/>
      <c r="E887" s="31"/>
      <c r="F887" s="31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5">
      <c r="A888" s="7"/>
      <c r="B888" s="30"/>
      <c r="C888" s="31"/>
      <c r="D888" s="31"/>
      <c r="E888" s="31"/>
      <c r="F888" s="31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5">
      <c r="A889" s="7"/>
      <c r="B889" s="30"/>
      <c r="C889" s="31"/>
      <c r="D889" s="31"/>
      <c r="E889" s="31"/>
      <c r="F889" s="31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5">
      <c r="A890" s="7"/>
      <c r="B890" s="30"/>
      <c r="C890" s="31"/>
      <c r="D890" s="31"/>
      <c r="E890" s="31"/>
      <c r="F890" s="31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5">
      <c r="A891" s="7"/>
      <c r="B891" s="30"/>
      <c r="C891" s="31"/>
      <c r="D891" s="31"/>
      <c r="E891" s="31"/>
      <c r="F891" s="31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5">
      <c r="A892" s="7"/>
      <c r="B892" s="30"/>
      <c r="C892" s="31"/>
      <c r="D892" s="31"/>
      <c r="E892" s="31"/>
      <c r="F892" s="31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5">
      <c r="A893" s="7"/>
      <c r="B893" s="30"/>
      <c r="C893" s="31"/>
      <c r="D893" s="31"/>
      <c r="E893" s="31"/>
      <c r="F893" s="31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5">
      <c r="A894" s="7"/>
      <c r="B894" s="30"/>
      <c r="C894" s="31"/>
      <c r="D894" s="31"/>
      <c r="E894" s="31"/>
      <c r="F894" s="31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5">
      <c r="A895" s="7"/>
      <c r="B895" s="30"/>
      <c r="C895" s="31"/>
      <c r="D895" s="31"/>
      <c r="E895" s="31"/>
      <c r="F895" s="31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5">
      <c r="A896" s="7"/>
      <c r="B896" s="30"/>
      <c r="C896" s="31"/>
      <c r="D896" s="31"/>
      <c r="E896" s="31"/>
      <c r="F896" s="31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5">
      <c r="A897" s="7"/>
      <c r="B897" s="30"/>
      <c r="C897" s="31"/>
      <c r="D897" s="31"/>
      <c r="E897" s="31"/>
      <c r="F897" s="31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5">
      <c r="A898" s="7"/>
      <c r="B898" s="30"/>
      <c r="C898" s="31"/>
      <c r="D898" s="31"/>
      <c r="E898" s="31"/>
      <c r="F898" s="31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5">
      <c r="A899" s="7"/>
      <c r="B899" s="30"/>
      <c r="C899" s="31"/>
      <c r="D899" s="31"/>
      <c r="E899" s="31"/>
      <c r="F899" s="31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5">
      <c r="A900" s="7"/>
      <c r="B900" s="30"/>
      <c r="C900" s="31"/>
      <c r="D900" s="31"/>
      <c r="E900" s="31"/>
      <c r="F900" s="31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5">
      <c r="A901" s="7"/>
      <c r="B901" s="30"/>
      <c r="C901" s="31"/>
      <c r="D901" s="31"/>
      <c r="E901" s="31"/>
      <c r="F901" s="31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5">
      <c r="A902" s="7"/>
      <c r="B902" s="30"/>
      <c r="C902" s="31"/>
      <c r="D902" s="31"/>
      <c r="E902" s="31"/>
      <c r="F902" s="31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5">
      <c r="A903" s="7"/>
      <c r="B903" s="30"/>
      <c r="C903" s="31"/>
      <c r="D903" s="31"/>
      <c r="E903" s="31"/>
      <c r="F903" s="31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5">
      <c r="A904" s="7"/>
      <c r="B904" s="30"/>
      <c r="C904" s="31"/>
      <c r="D904" s="31"/>
      <c r="E904" s="31"/>
      <c r="F904" s="31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5">
      <c r="A905" s="7"/>
      <c r="B905" s="30"/>
      <c r="C905" s="31"/>
      <c r="D905" s="31"/>
      <c r="E905" s="31"/>
      <c r="F905" s="31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5">
      <c r="A906" s="7"/>
      <c r="B906" s="30"/>
      <c r="C906" s="31"/>
      <c r="D906" s="31"/>
      <c r="E906" s="31"/>
      <c r="F906" s="31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5">
      <c r="A907" s="7"/>
      <c r="B907" s="30"/>
      <c r="C907" s="31"/>
      <c r="D907" s="31"/>
      <c r="E907" s="31"/>
      <c r="F907" s="31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5">
      <c r="A908" s="7"/>
      <c r="B908" s="30"/>
      <c r="C908" s="31"/>
      <c r="D908" s="31"/>
      <c r="E908" s="31"/>
      <c r="F908" s="31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5">
      <c r="A909" s="7"/>
      <c r="B909" s="30"/>
      <c r="C909" s="31"/>
      <c r="D909" s="31"/>
      <c r="E909" s="31"/>
      <c r="F909" s="31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5">
      <c r="A910" s="7"/>
      <c r="B910" s="30"/>
      <c r="C910" s="31"/>
      <c r="D910" s="31"/>
      <c r="E910" s="31"/>
      <c r="F910" s="31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5">
      <c r="A911" s="7"/>
      <c r="B911" s="30"/>
      <c r="C911" s="31"/>
      <c r="D911" s="31"/>
      <c r="E911" s="31"/>
      <c r="F911" s="31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5">
      <c r="A912" s="7"/>
      <c r="B912" s="30"/>
      <c r="C912" s="31"/>
      <c r="D912" s="31"/>
      <c r="E912" s="31"/>
      <c r="F912" s="31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5">
      <c r="A913" s="7"/>
      <c r="B913" s="30"/>
      <c r="C913" s="31"/>
      <c r="D913" s="31"/>
      <c r="E913" s="31"/>
      <c r="F913" s="31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5">
      <c r="A914" s="7"/>
      <c r="B914" s="30"/>
      <c r="C914" s="31"/>
      <c r="D914" s="31"/>
      <c r="E914" s="31"/>
      <c r="F914" s="31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5">
      <c r="A915" s="7"/>
      <c r="B915" s="30"/>
      <c r="C915" s="31"/>
      <c r="D915" s="31"/>
      <c r="E915" s="31"/>
      <c r="F915" s="31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5">
      <c r="A916" s="7"/>
      <c r="B916" s="30"/>
      <c r="C916" s="31"/>
      <c r="D916" s="31"/>
      <c r="E916" s="31"/>
      <c r="F916" s="31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5">
      <c r="A917" s="7"/>
      <c r="B917" s="30"/>
      <c r="C917" s="31"/>
      <c r="D917" s="31"/>
      <c r="E917" s="31"/>
      <c r="F917" s="31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5">
      <c r="A918" s="7"/>
      <c r="B918" s="30"/>
      <c r="C918" s="31"/>
      <c r="D918" s="31"/>
      <c r="E918" s="31"/>
      <c r="F918" s="31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5">
      <c r="A919" s="7"/>
      <c r="B919" s="30"/>
      <c r="C919" s="31"/>
      <c r="D919" s="31"/>
      <c r="E919" s="31"/>
      <c r="F919" s="31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5">
      <c r="A920" s="7"/>
      <c r="B920" s="30"/>
      <c r="C920" s="31"/>
      <c r="D920" s="31"/>
      <c r="E920" s="31"/>
      <c r="F920" s="31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5">
      <c r="A921" s="7"/>
      <c r="B921" s="30"/>
      <c r="C921" s="31"/>
      <c r="D921" s="31"/>
      <c r="E921" s="31"/>
      <c r="F921" s="31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5">
      <c r="A922" s="7"/>
      <c r="B922" s="30"/>
      <c r="C922" s="31"/>
      <c r="D922" s="31"/>
      <c r="E922" s="31"/>
      <c r="F922" s="31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5">
      <c r="A923" s="7"/>
      <c r="B923" s="30"/>
      <c r="C923" s="31"/>
      <c r="D923" s="31"/>
      <c r="E923" s="31"/>
      <c r="F923" s="31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5">
      <c r="A924" s="7"/>
      <c r="B924" s="30"/>
      <c r="C924" s="31"/>
      <c r="D924" s="31"/>
      <c r="E924" s="31"/>
      <c r="F924" s="31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5">
      <c r="A925" s="7"/>
      <c r="B925" s="30"/>
      <c r="C925" s="31"/>
      <c r="D925" s="31"/>
      <c r="E925" s="31"/>
      <c r="F925" s="31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5">
      <c r="A926" s="7"/>
      <c r="B926" s="30"/>
      <c r="C926" s="31"/>
      <c r="D926" s="31"/>
      <c r="E926" s="31"/>
      <c r="F926" s="31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5">
      <c r="A927" s="7"/>
      <c r="B927" s="30"/>
      <c r="C927" s="31"/>
      <c r="D927" s="31"/>
      <c r="E927" s="31"/>
      <c r="F927" s="31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5">
      <c r="A928" s="7"/>
      <c r="B928" s="30"/>
      <c r="C928" s="31"/>
      <c r="D928" s="31"/>
      <c r="E928" s="31"/>
      <c r="F928" s="31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5">
      <c r="A929" s="7"/>
      <c r="B929" s="30"/>
      <c r="C929" s="31"/>
      <c r="D929" s="31"/>
      <c r="E929" s="31"/>
      <c r="F929" s="31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5">
      <c r="A930" s="7"/>
      <c r="B930" s="30"/>
      <c r="C930" s="31"/>
      <c r="D930" s="31"/>
      <c r="E930" s="31"/>
      <c r="F930" s="31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5">
      <c r="A931" s="7"/>
      <c r="B931" s="30"/>
      <c r="C931" s="31"/>
      <c r="D931" s="31"/>
      <c r="E931" s="31"/>
      <c r="F931" s="31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5">
      <c r="A932" s="7"/>
      <c r="B932" s="30"/>
      <c r="C932" s="31"/>
      <c r="D932" s="31"/>
      <c r="E932" s="31"/>
      <c r="F932" s="31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5">
      <c r="A933" s="7"/>
      <c r="B933" s="30"/>
      <c r="C933" s="31"/>
      <c r="D933" s="31"/>
      <c r="E933" s="31"/>
      <c r="F933" s="31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5">
      <c r="A934" s="7"/>
      <c r="B934" s="30"/>
      <c r="C934" s="31"/>
      <c r="D934" s="31"/>
      <c r="E934" s="31"/>
      <c r="F934" s="31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5">
      <c r="A935" s="7"/>
      <c r="B935" s="30"/>
      <c r="C935" s="31"/>
      <c r="D935" s="31"/>
      <c r="E935" s="31"/>
      <c r="F935" s="31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5">
      <c r="A936" s="7"/>
      <c r="B936" s="30"/>
      <c r="C936" s="31"/>
      <c r="D936" s="31"/>
      <c r="E936" s="31"/>
      <c r="F936" s="31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5">
      <c r="A937" s="7"/>
      <c r="B937" s="30"/>
      <c r="C937" s="31"/>
      <c r="D937" s="31"/>
      <c r="E937" s="31"/>
      <c r="F937" s="31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5">
      <c r="A938" s="7"/>
      <c r="B938" s="30"/>
      <c r="C938" s="31"/>
      <c r="D938" s="31"/>
      <c r="E938" s="31"/>
      <c r="F938" s="31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5">
      <c r="A939" s="7"/>
      <c r="B939" s="30"/>
      <c r="C939" s="31"/>
      <c r="D939" s="31"/>
      <c r="E939" s="31"/>
      <c r="F939" s="31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5">
      <c r="A940" s="7"/>
      <c r="B940" s="30"/>
      <c r="C940" s="31"/>
      <c r="D940" s="31"/>
      <c r="E940" s="31"/>
      <c r="F940" s="31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5">
      <c r="A941" s="7"/>
      <c r="B941" s="30"/>
      <c r="C941" s="31"/>
      <c r="D941" s="31"/>
      <c r="E941" s="31"/>
      <c r="F941" s="31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5">
      <c r="A942" s="7"/>
      <c r="B942" s="30"/>
      <c r="C942" s="31"/>
      <c r="D942" s="31"/>
      <c r="E942" s="31"/>
      <c r="F942" s="31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5">
      <c r="A943" s="7"/>
      <c r="B943" s="30"/>
      <c r="C943" s="31"/>
      <c r="D943" s="31"/>
      <c r="E943" s="31"/>
      <c r="F943" s="31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5">
      <c r="A944" s="7"/>
      <c r="B944" s="30"/>
      <c r="C944" s="31"/>
      <c r="D944" s="31"/>
      <c r="E944" s="31"/>
      <c r="F944" s="31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5">
      <c r="A945" s="7"/>
      <c r="B945" s="30"/>
      <c r="C945" s="31"/>
      <c r="D945" s="31"/>
      <c r="E945" s="31"/>
      <c r="F945" s="31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5">
      <c r="A946" s="7"/>
      <c r="B946" s="30"/>
      <c r="C946" s="31"/>
      <c r="D946" s="31"/>
      <c r="E946" s="31"/>
      <c r="F946" s="31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5">
      <c r="A947" s="7"/>
      <c r="B947" s="30"/>
      <c r="C947" s="31"/>
      <c r="D947" s="31"/>
      <c r="E947" s="31"/>
      <c r="F947" s="31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5">
      <c r="A948" s="7"/>
      <c r="B948" s="30"/>
      <c r="C948" s="31"/>
      <c r="D948" s="31"/>
      <c r="E948" s="31"/>
      <c r="F948" s="31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5">
      <c r="A949" s="7"/>
      <c r="B949" s="30"/>
      <c r="C949" s="31"/>
      <c r="D949" s="31"/>
      <c r="E949" s="31"/>
      <c r="F949" s="31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5">
      <c r="A950" s="7"/>
      <c r="B950" s="30"/>
      <c r="C950" s="31"/>
      <c r="D950" s="31"/>
      <c r="E950" s="31"/>
      <c r="F950" s="31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5">
      <c r="A951" s="7"/>
      <c r="B951" s="30"/>
      <c r="C951" s="31"/>
      <c r="D951" s="31"/>
      <c r="E951" s="31"/>
      <c r="F951" s="31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5">
      <c r="A952" s="7"/>
      <c r="B952" s="30"/>
      <c r="C952" s="31"/>
      <c r="D952" s="31"/>
      <c r="E952" s="31"/>
      <c r="F952" s="31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5">
      <c r="A953" s="7"/>
      <c r="B953" s="30"/>
      <c r="C953" s="31"/>
      <c r="D953" s="31"/>
      <c r="E953" s="31"/>
      <c r="F953" s="31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5">
      <c r="A954" s="7"/>
      <c r="B954" s="30"/>
      <c r="C954" s="31"/>
      <c r="D954" s="31"/>
      <c r="E954" s="31"/>
      <c r="F954" s="31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5">
      <c r="A955" s="7"/>
      <c r="B955" s="30"/>
      <c r="C955" s="31"/>
      <c r="D955" s="31"/>
      <c r="E955" s="31"/>
      <c r="F955" s="31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5">
      <c r="A956" s="7"/>
      <c r="B956" s="30"/>
      <c r="C956" s="31"/>
      <c r="D956" s="31"/>
      <c r="E956" s="31"/>
      <c r="F956" s="31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5">
      <c r="A957" s="7"/>
      <c r="B957" s="30"/>
      <c r="C957" s="31"/>
      <c r="D957" s="31"/>
      <c r="E957" s="31"/>
      <c r="F957" s="31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5">
      <c r="A958" s="7"/>
      <c r="B958" s="30"/>
      <c r="C958" s="31"/>
      <c r="D958" s="31"/>
      <c r="E958" s="31"/>
      <c r="F958" s="31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5">
      <c r="A959" s="7"/>
      <c r="B959" s="30"/>
      <c r="C959" s="31"/>
      <c r="D959" s="31"/>
      <c r="E959" s="31"/>
      <c r="F959" s="31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5">
      <c r="A960" s="7"/>
      <c r="B960" s="30"/>
      <c r="C960" s="31"/>
      <c r="D960" s="31"/>
      <c r="E960" s="31"/>
      <c r="F960" s="31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5">
      <c r="A961" s="7"/>
      <c r="B961" s="30"/>
      <c r="C961" s="31"/>
      <c r="D961" s="31"/>
      <c r="E961" s="31"/>
      <c r="F961" s="31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5">
      <c r="A962" s="7"/>
      <c r="B962" s="30"/>
      <c r="C962" s="31"/>
      <c r="D962" s="31"/>
      <c r="E962" s="31"/>
      <c r="F962" s="31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5">
      <c r="A963" s="7"/>
      <c r="B963" s="30"/>
      <c r="C963" s="31"/>
      <c r="D963" s="31"/>
      <c r="E963" s="31"/>
      <c r="F963" s="31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5">
      <c r="A964" s="7"/>
      <c r="B964" s="30"/>
      <c r="C964" s="31"/>
      <c r="D964" s="31"/>
      <c r="E964" s="31"/>
      <c r="F964" s="31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5">
      <c r="A965" s="7"/>
      <c r="B965" s="30"/>
      <c r="C965" s="31"/>
      <c r="D965" s="31"/>
      <c r="E965" s="31"/>
      <c r="F965" s="31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5">
      <c r="A966" s="7"/>
      <c r="B966" s="30"/>
      <c r="C966" s="31"/>
      <c r="D966" s="31"/>
      <c r="E966" s="31"/>
      <c r="F966" s="31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5">
      <c r="A967" s="7"/>
      <c r="B967" s="30"/>
      <c r="C967" s="31"/>
      <c r="D967" s="31"/>
      <c r="E967" s="31"/>
      <c r="F967" s="31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5">
      <c r="A968" s="7"/>
      <c r="B968" s="30"/>
      <c r="C968" s="31"/>
      <c r="D968" s="31"/>
      <c r="E968" s="31"/>
      <c r="F968" s="31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5">
      <c r="A969" s="7"/>
      <c r="B969" s="30"/>
      <c r="C969" s="31"/>
      <c r="D969" s="31"/>
      <c r="E969" s="31"/>
      <c r="F969" s="31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5">
      <c r="A970" s="7"/>
      <c r="B970" s="30"/>
      <c r="C970" s="31"/>
      <c r="D970" s="31"/>
      <c r="E970" s="31"/>
      <c r="F970" s="31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5">
      <c r="A971" s="7"/>
      <c r="B971" s="30"/>
      <c r="C971" s="31"/>
      <c r="D971" s="31"/>
      <c r="E971" s="31"/>
      <c r="F971" s="31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5">
      <c r="A972" s="7"/>
      <c r="B972" s="30"/>
      <c r="C972" s="31"/>
      <c r="D972" s="31"/>
      <c r="E972" s="31"/>
      <c r="F972" s="31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5">
      <c r="A973" s="7"/>
      <c r="B973" s="30"/>
      <c r="C973" s="31"/>
      <c r="D973" s="31"/>
      <c r="E973" s="31"/>
      <c r="F973" s="31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5">
      <c r="A974" s="7"/>
      <c r="B974" s="30"/>
      <c r="C974" s="31"/>
      <c r="D974" s="31"/>
      <c r="E974" s="31"/>
      <c r="F974" s="31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5">
      <c r="A975" s="7"/>
      <c r="B975" s="30"/>
      <c r="C975" s="31"/>
      <c r="D975" s="31"/>
      <c r="E975" s="31"/>
      <c r="F975" s="31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5">
      <c r="A976" s="7"/>
      <c r="B976" s="30"/>
      <c r="C976" s="31"/>
      <c r="D976" s="31"/>
      <c r="E976" s="31"/>
      <c r="F976" s="31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5">
      <c r="A977" s="7"/>
      <c r="B977" s="30"/>
      <c r="C977" s="31"/>
      <c r="D977" s="31"/>
      <c r="E977" s="31"/>
      <c r="F977" s="31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5">
      <c r="A978" s="7"/>
      <c r="B978" s="30"/>
      <c r="C978" s="31"/>
      <c r="D978" s="31"/>
      <c r="E978" s="31"/>
      <c r="F978" s="31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5">
      <c r="A979" s="7"/>
      <c r="B979" s="30"/>
      <c r="C979" s="31"/>
      <c r="D979" s="31"/>
      <c r="E979" s="31"/>
      <c r="F979" s="31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5">
      <c r="A980" s="7"/>
      <c r="B980" s="30"/>
      <c r="C980" s="31"/>
      <c r="D980" s="31"/>
      <c r="E980" s="31"/>
      <c r="F980" s="31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5">
      <c r="A981" s="7"/>
      <c r="B981" s="30"/>
      <c r="C981" s="31"/>
      <c r="D981" s="31"/>
      <c r="E981" s="31"/>
      <c r="F981" s="31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5">
      <c r="A982" s="7"/>
      <c r="B982" s="30"/>
      <c r="C982" s="31"/>
      <c r="D982" s="31"/>
      <c r="E982" s="31"/>
      <c r="F982" s="31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5">
      <c r="A983" s="7"/>
      <c r="B983" s="30"/>
      <c r="C983" s="31"/>
      <c r="D983" s="31"/>
      <c r="E983" s="31"/>
      <c r="F983" s="31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5">
      <c r="A984" s="7"/>
      <c r="B984" s="30"/>
      <c r="C984" s="31"/>
      <c r="D984" s="31"/>
      <c r="E984" s="31"/>
      <c r="F984" s="31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5">
      <c r="A985" s="7"/>
      <c r="B985" s="30"/>
      <c r="C985" s="31"/>
      <c r="D985" s="31"/>
      <c r="E985" s="31"/>
      <c r="F985" s="31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5">
      <c r="A986" s="7"/>
      <c r="B986" s="30"/>
      <c r="C986" s="31"/>
      <c r="D986" s="31"/>
      <c r="E986" s="31"/>
      <c r="F986" s="31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5">
      <c r="A987" s="7"/>
      <c r="B987" s="30"/>
      <c r="C987" s="31"/>
      <c r="D987" s="31"/>
      <c r="E987" s="31"/>
      <c r="F987" s="31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5">
      <c r="A988" s="7"/>
      <c r="B988" s="30"/>
      <c r="C988" s="31"/>
      <c r="D988" s="31"/>
      <c r="E988" s="31"/>
      <c r="F988" s="31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5">
      <c r="A989" s="7"/>
      <c r="B989" s="30"/>
      <c r="C989" s="31"/>
      <c r="D989" s="31"/>
      <c r="E989" s="31"/>
      <c r="F989" s="31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5">
      <c r="A990" s="7"/>
      <c r="B990" s="30"/>
      <c r="C990" s="31"/>
      <c r="D990" s="31"/>
      <c r="E990" s="31"/>
      <c r="F990" s="31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5">
      <c r="A991" s="7"/>
      <c r="B991" s="30"/>
      <c r="C991" s="31"/>
      <c r="D991" s="31"/>
      <c r="E991" s="31"/>
      <c r="F991" s="31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5">
      <c r="A992" s="7"/>
      <c r="B992" s="30"/>
      <c r="C992" s="31"/>
      <c r="D992" s="31"/>
      <c r="E992" s="31"/>
      <c r="F992" s="31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5">
      <c r="A993" s="7"/>
      <c r="B993" s="30"/>
      <c r="C993" s="31"/>
      <c r="D993" s="31"/>
      <c r="E993" s="31"/>
      <c r="F993" s="31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5">
      <c r="A994" s="7"/>
      <c r="B994" s="30"/>
      <c r="C994" s="31"/>
      <c r="D994" s="31"/>
      <c r="E994" s="31"/>
      <c r="F994" s="31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5">
      <c r="A995" s="7"/>
      <c r="B995" s="30"/>
      <c r="C995" s="31"/>
      <c r="D995" s="31"/>
      <c r="E995" s="31"/>
      <c r="F995" s="31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5">
      <c r="A996" s="7"/>
      <c r="B996" s="30"/>
      <c r="C996" s="31"/>
      <c r="D996" s="31"/>
      <c r="E996" s="31"/>
      <c r="F996" s="31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5">
      <c r="A997" s="7"/>
      <c r="B997" s="30"/>
      <c r="C997" s="31"/>
      <c r="D997" s="31"/>
      <c r="E997" s="31"/>
      <c r="F997" s="31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5">
      <c r="A998" s="7"/>
      <c r="B998" s="30"/>
      <c r="C998" s="31"/>
      <c r="D998" s="31"/>
      <c r="E998" s="31"/>
      <c r="F998" s="31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5">
      <c r="A999" s="7"/>
      <c r="B999" s="30"/>
      <c r="C999" s="31"/>
      <c r="D999" s="31"/>
      <c r="E999" s="31"/>
      <c r="F999" s="31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5">
      <c r="A1000" s="7"/>
      <c r="B1000" s="30"/>
      <c r="C1000" s="31"/>
      <c r="D1000" s="31"/>
      <c r="E1000" s="31"/>
      <c r="F1000" s="31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r:id="rId1" location="'Khung%20soạn%20thư'!A1" xr:uid="{00000000-0004-0000-0100-000000000000}"/>
    <hyperlink ref="D10" r:id="rId2" location="'Gửi%20thư'!A1" xr:uid="{00000000-0004-0000-0100-000001000000}"/>
    <hyperlink ref="D11" r:id="rId3" location="'Gửi%20thư%20lỗi'!A1" xr:uid="{00000000-0004-0000-0100-000002000000}"/>
    <hyperlink ref="D12" r:id="rId4" location="'Đính%20kèm%20và%20định%20dạng'!A1" xr:uid="{00000000-0004-0000-0100-000003000000}"/>
    <hyperlink ref="D13" r:id="rId5" location="'Thư%20nháp'!A1" xr:uid="{00000000-0004-0000-0100-000004000000}"/>
  </hyperlink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7" zoomScaleNormal="100" workbookViewId="0"/>
  </sheetViews>
  <sheetFormatPr defaultColWidth="14.453125" defaultRowHeight="14.5" x14ac:dyDescent="0.35"/>
  <cols>
    <col min="1" max="3" width="17.81640625" customWidth="1"/>
    <col min="4" max="4" width="48" customWidth="1"/>
    <col min="5" max="5" width="12.26953125" customWidth="1"/>
    <col min="6" max="6" width="31.453125" customWidth="1"/>
    <col min="7" max="26" width="9.08984375" customWidth="1"/>
  </cols>
  <sheetData>
    <row r="1" spans="1:26" ht="25.5" customHeight="1" x14ac:dyDescent="0.35">
      <c r="A1" s="55" t="s">
        <v>44</v>
      </c>
      <c r="B1" s="55" t="s">
        <v>45</v>
      </c>
      <c r="C1" s="55" t="s">
        <v>46</v>
      </c>
      <c r="D1" s="55" t="s">
        <v>47</v>
      </c>
      <c r="E1" s="55" t="s">
        <v>48</v>
      </c>
      <c r="F1" s="55" t="s">
        <v>49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2.75" customHeight="1" x14ac:dyDescent="0.35">
      <c r="A2" s="57" t="s">
        <v>50</v>
      </c>
      <c r="B2" s="57" t="s">
        <v>51</v>
      </c>
      <c r="C2" s="57" t="s">
        <v>52</v>
      </c>
      <c r="D2" s="58" t="s">
        <v>53</v>
      </c>
      <c r="E2" s="59" t="s">
        <v>54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2.75" customHeight="1" x14ac:dyDescent="0.35">
      <c r="A3" s="57"/>
      <c r="B3" s="57"/>
      <c r="C3" s="57"/>
      <c r="D3" s="58" t="s">
        <v>55</v>
      </c>
      <c r="E3" s="59" t="s">
        <v>56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2.75" customHeight="1" x14ac:dyDescent="0.35">
      <c r="A4" s="57"/>
      <c r="B4" s="57"/>
      <c r="C4" s="57" t="s">
        <v>57</v>
      </c>
      <c r="D4" s="58" t="s">
        <v>58</v>
      </c>
      <c r="E4" s="59" t="s">
        <v>54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2.75" customHeight="1" x14ac:dyDescent="0.35">
      <c r="A5" s="57"/>
      <c r="B5" s="57"/>
      <c r="C5" s="57"/>
      <c r="D5" s="58" t="s">
        <v>59</v>
      </c>
      <c r="E5" s="59" t="s">
        <v>54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2.75" customHeight="1" x14ac:dyDescent="0.35">
      <c r="A6" s="57"/>
      <c r="B6" s="57"/>
      <c r="C6" s="57"/>
      <c r="D6" s="58" t="s">
        <v>60</v>
      </c>
      <c r="E6" s="59" t="s">
        <v>54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2.75" customHeight="1" x14ac:dyDescent="0.35">
      <c r="A7" s="57"/>
      <c r="B7" s="57"/>
      <c r="C7" s="57" t="s">
        <v>61</v>
      </c>
      <c r="D7" s="58" t="s">
        <v>62</v>
      </c>
      <c r="E7" s="59" t="s">
        <v>54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2.75" customHeight="1" x14ac:dyDescent="0.35">
      <c r="A8" s="57"/>
      <c r="B8" s="57" t="s">
        <v>63</v>
      </c>
      <c r="C8" s="57" t="s">
        <v>64</v>
      </c>
      <c r="D8" s="58" t="s">
        <v>65</v>
      </c>
      <c r="E8" s="59" t="s">
        <v>54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2.75" customHeight="1" x14ac:dyDescent="0.35">
      <c r="A9" s="57"/>
      <c r="B9" s="57"/>
      <c r="C9" s="57" t="s">
        <v>66</v>
      </c>
      <c r="D9" s="58" t="s">
        <v>67</v>
      </c>
      <c r="E9" s="59" t="s">
        <v>54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2.75" customHeight="1" x14ac:dyDescent="0.35">
      <c r="A10" s="57"/>
      <c r="B10" s="57"/>
      <c r="C10" s="57"/>
      <c r="D10" s="58" t="s">
        <v>68</v>
      </c>
      <c r="E10" s="59" t="s">
        <v>54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2.75" customHeight="1" x14ac:dyDescent="0.35">
      <c r="A11" s="57"/>
      <c r="B11" s="57"/>
      <c r="C11" s="57"/>
      <c r="D11" s="58" t="s">
        <v>69</v>
      </c>
      <c r="E11" s="59" t="s">
        <v>54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2.75" customHeight="1" x14ac:dyDescent="0.35">
      <c r="A12" s="57"/>
      <c r="B12" s="57"/>
      <c r="C12" s="57"/>
      <c r="D12" s="58" t="s">
        <v>70</v>
      </c>
      <c r="E12" s="59" t="s">
        <v>54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25.5" customHeight="1" x14ac:dyDescent="0.35">
      <c r="A13" s="57"/>
      <c r="B13" s="57"/>
      <c r="C13" s="57" t="s">
        <v>71</v>
      </c>
      <c r="D13" s="58" t="s">
        <v>72</v>
      </c>
      <c r="E13" s="59" t="s">
        <v>54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2.75" customHeight="1" x14ac:dyDescent="0.35">
      <c r="A14" s="57"/>
      <c r="B14" s="57" t="s">
        <v>73</v>
      </c>
      <c r="C14" s="57" t="s">
        <v>74</v>
      </c>
      <c r="D14" s="58" t="s">
        <v>75</v>
      </c>
      <c r="E14" s="59" t="s">
        <v>54</v>
      </c>
      <c r="F14" s="58" t="s">
        <v>76</v>
      </c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2.75" customHeight="1" x14ac:dyDescent="0.35">
      <c r="A15" s="57"/>
      <c r="B15" s="57"/>
      <c r="C15" s="57"/>
      <c r="D15" s="58" t="s">
        <v>77</v>
      </c>
      <c r="E15" s="59" t="s">
        <v>54</v>
      </c>
      <c r="F15" s="58" t="s">
        <v>76</v>
      </c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2.75" customHeight="1" x14ac:dyDescent="0.35">
      <c r="A16" s="57"/>
      <c r="B16" s="57"/>
      <c r="C16" s="57"/>
      <c r="D16" s="58" t="s">
        <v>78</v>
      </c>
      <c r="E16" s="59" t="s">
        <v>54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2.75" customHeight="1" x14ac:dyDescent="0.35">
      <c r="A17" s="57"/>
      <c r="B17" s="57"/>
      <c r="C17" s="57"/>
      <c r="D17" s="58" t="s">
        <v>79</v>
      </c>
      <c r="E17" s="59" t="s">
        <v>54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2.75" customHeight="1" x14ac:dyDescent="0.35">
      <c r="A18" s="57"/>
      <c r="B18" s="57"/>
      <c r="C18" s="57"/>
      <c r="D18" s="58" t="s">
        <v>80</v>
      </c>
      <c r="E18" s="59" t="s">
        <v>54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2.75" customHeight="1" x14ac:dyDescent="0.35">
      <c r="A19" s="57"/>
      <c r="B19" s="57"/>
      <c r="C19" s="57"/>
      <c r="D19" s="58" t="s">
        <v>81</v>
      </c>
      <c r="E19" s="59" t="s">
        <v>54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2.75" customHeight="1" x14ac:dyDescent="0.35">
      <c r="A20" s="57"/>
      <c r="B20" s="57"/>
      <c r="C20" s="57" t="s">
        <v>82</v>
      </c>
      <c r="D20" s="58" t="s">
        <v>83</v>
      </c>
      <c r="E20" s="59" t="s">
        <v>54</v>
      </c>
      <c r="F20" s="58" t="s">
        <v>84</v>
      </c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2.75" customHeight="1" x14ac:dyDescent="0.35">
      <c r="A21" s="57"/>
      <c r="B21" s="57"/>
      <c r="C21" s="57"/>
      <c r="D21" s="58" t="s">
        <v>85</v>
      </c>
      <c r="E21" s="59" t="s">
        <v>54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2.75" customHeight="1" x14ac:dyDescent="0.35">
      <c r="A22" s="57"/>
      <c r="B22" s="57"/>
      <c r="C22" s="57"/>
      <c r="D22" s="58" t="s">
        <v>86</v>
      </c>
      <c r="E22" s="59" t="s">
        <v>54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2.75" customHeight="1" x14ac:dyDescent="0.35">
      <c r="A23" s="57"/>
      <c r="B23" s="57"/>
      <c r="C23" s="57"/>
      <c r="D23" s="58" t="s">
        <v>87</v>
      </c>
      <c r="E23" s="59" t="s">
        <v>54</v>
      </c>
      <c r="F23" s="58" t="s">
        <v>84</v>
      </c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2.75" customHeight="1" x14ac:dyDescent="0.35">
      <c r="A24" s="57" t="s">
        <v>88</v>
      </c>
      <c r="B24" s="57" t="s">
        <v>89</v>
      </c>
      <c r="C24" s="57"/>
      <c r="D24" s="58" t="s">
        <v>90</v>
      </c>
      <c r="E24" s="59" t="s">
        <v>54</v>
      </c>
      <c r="F24" s="58" t="s">
        <v>91</v>
      </c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2.75" customHeight="1" x14ac:dyDescent="0.35">
      <c r="A25" s="57"/>
      <c r="B25" s="57"/>
      <c r="C25" s="57"/>
      <c r="D25" s="58" t="s">
        <v>92</v>
      </c>
      <c r="E25" s="59" t="s">
        <v>54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2.75" customHeight="1" x14ac:dyDescent="0.35">
      <c r="A26" s="57"/>
      <c r="B26" s="57"/>
      <c r="C26" s="57"/>
      <c r="D26" s="58" t="s">
        <v>93</v>
      </c>
      <c r="E26" s="59" t="s">
        <v>54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2.75" customHeight="1" x14ac:dyDescent="0.35">
      <c r="A27" s="57"/>
      <c r="B27" s="57"/>
      <c r="C27" s="57"/>
      <c r="D27" s="58" t="s">
        <v>94</v>
      </c>
      <c r="E27" s="59" t="s">
        <v>54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2.75" customHeight="1" x14ac:dyDescent="0.35">
      <c r="A28" s="57"/>
      <c r="B28" s="57"/>
      <c r="C28" s="57"/>
      <c r="D28" s="58" t="s">
        <v>95</v>
      </c>
      <c r="E28" s="59" t="s">
        <v>54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2.75" customHeight="1" x14ac:dyDescent="0.35">
      <c r="A29" s="57"/>
      <c r="B29" s="57"/>
      <c r="C29" s="57"/>
      <c r="D29" s="58" t="s">
        <v>96</v>
      </c>
      <c r="E29" s="59" t="s">
        <v>54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12.75" customHeight="1" x14ac:dyDescent="0.35">
      <c r="A30" s="57"/>
      <c r="B30" s="57"/>
      <c r="C30" s="57"/>
      <c r="D30" s="58" t="s">
        <v>97</v>
      </c>
      <c r="E30" s="59" t="s">
        <v>54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25.5" customHeight="1" x14ac:dyDescent="0.35">
      <c r="A31" s="57"/>
      <c r="B31" s="57"/>
      <c r="C31" s="57"/>
      <c r="D31" s="58" t="s">
        <v>98</v>
      </c>
      <c r="E31" s="59" t="s">
        <v>54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2.75" customHeight="1" x14ac:dyDescent="0.35">
      <c r="A32" s="57"/>
      <c r="B32" s="57"/>
      <c r="C32" s="57"/>
      <c r="D32" s="58" t="s">
        <v>99</v>
      </c>
      <c r="E32" s="59" t="s">
        <v>54</v>
      </c>
      <c r="F32" s="58" t="s">
        <v>100</v>
      </c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2.75" customHeight="1" x14ac:dyDescent="0.35">
      <c r="A33" s="57"/>
      <c r="B33" s="57" t="s">
        <v>101</v>
      </c>
      <c r="C33" s="57"/>
      <c r="D33" s="58" t="s">
        <v>102</v>
      </c>
      <c r="E33" s="59" t="s">
        <v>54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12.75" customHeight="1" x14ac:dyDescent="0.35">
      <c r="A34" s="57"/>
      <c r="B34" s="57"/>
      <c r="C34" s="57"/>
      <c r="D34" s="58" t="s">
        <v>103</v>
      </c>
      <c r="E34" s="59" t="s">
        <v>54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2.75" customHeight="1" x14ac:dyDescent="0.35">
      <c r="A35" s="57"/>
      <c r="B35" s="57"/>
      <c r="C35" s="57"/>
      <c r="D35" s="58" t="s">
        <v>104</v>
      </c>
      <c r="E35" s="59" t="s">
        <v>54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2.75" customHeight="1" x14ac:dyDescent="0.35">
      <c r="A36" s="57"/>
      <c r="B36" s="57"/>
      <c r="C36" s="57"/>
      <c r="D36" s="58" t="s">
        <v>105</v>
      </c>
      <c r="E36" s="59" t="s">
        <v>54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25.5" customHeight="1" x14ac:dyDescent="0.35">
      <c r="A37" s="57"/>
      <c r="B37" s="57"/>
      <c r="C37" s="57"/>
      <c r="D37" s="58" t="s">
        <v>106</v>
      </c>
      <c r="E37" s="59" t="s">
        <v>54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12.75" customHeight="1" x14ac:dyDescent="0.35">
      <c r="A38" s="57"/>
      <c r="B38" s="57"/>
      <c r="C38" s="57"/>
      <c r="D38" s="58" t="s">
        <v>107</v>
      </c>
      <c r="E38" s="59" t="s">
        <v>54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12.75" customHeight="1" x14ac:dyDescent="0.35">
      <c r="A39" s="57"/>
      <c r="B39" s="57"/>
      <c r="C39" s="57"/>
      <c r="D39" s="58" t="s">
        <v>108</v>
      </c>
      <c r="E39" s="59" t="s">
        <v>54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2.75" customHeight="1" x14ac:dyDescent="0.35">
      <c r="A40" s="57" t="s">
        <v>109</v>
      </c>
      <c r="B40" s="57" t="s">
        <v>110</v>
      </c>
      <c r="C40" s="57"/>
      <c r="D40" s="58" t="s">
        <v>111</v>
      </c>
      <c r="E40" s="59" t="s">
        <v>54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2.75" customHeight="1" x14ac:dyDescent="0.35">
      <c r="A41" s="57"/>
      <c r="B41" s="57"/>
      <c r="C41" s="57"/>
      <c r="D41" s="58" t="s">
        <v>112</v>
      </c>
      <c r="E41" s="59" t="s">
        <v>54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2.75" customHeight="1" x14ac:dyDescent="0.35">
      <c r="A42" s="57"/>
      <c r="B42" s="57"/>
      <c r="C42" s="57"/>
      <c r="D42" s="58" t="s">
        <v>113</v>
      </c>
      <c r="E42" s="59" t="s">
        <v>54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2.75" customHeight="1" x14ac:dyDescent="0.35">
      <c r="A43" s="57"/>
      <c r="B43" s="57"/>
      <c r="C43" s="57"/>
      <c r="D43" s="58" t="s">
        <v>114</v>
      </c>
      <c r="E43" s="59" t="s">
        <v>54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2.75" customHeight="1" x14ac:dyDescent="0.35">
      <c r="A44" s="57"/>
      <c r="B44" s="57" t="s">
        <v>115</v>
      </c>
      <c r="C44" s="57"/>
      <c r="D44" s="58" t="s">
        <v>116</v>
      </c>
      <c r="E44" s="59" t="s">
        <v>54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12.75" customHeight="1" x14ac:dyDescent="0.35">
      <c r="A45" s="57"/>
      <c r="B45" s="57"/>
      <c r="C45" s="57"/>
      <c r="D45" s="58" t="s">
        <v>117</v>
      </c>
      <c r="E45" s="59" t="s">
        <v>54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12.75" customHeight="1" x14ac:dyDescent="0.35">
      <c r="A46" s="57"/>
      <c r="B46" s="57"/>
      <c r="C46" s="57"/>
      <c r="D46" s="58" t="s">
        <v>118</v>
      </c>
      <c r="E46" s="59" t="s">
        <v>54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25.5" customHeight="1" x14ac:dyDescent="0.35">
      <c r="A47" s="57"/>
      <c r="B47" s="57" t="s">
        <v>119</v>
      </c>
      <c r="C47" s="57"/>
      <c r="D47" s="58" t="s">
        <v>120</v>
      </c>
      <c r="E47" s="59" t="s">
        <v>54</v>
      </c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2.75" customHeight="1" x14ac:dyDescent="0.35">
      <c r="A48" s="61"/>
      <c r="B48" s="61"/>
      <c r="C48" s="61"/>
      <c r="D48" s="62"/>
      <c r="E48" s="61"/>
      <c r="F48" s="62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2.75" customHeight="1" x14ac:dyDescent="0.35">
      <c r="A49" s="61"/>
      <c r="B49" s="61"/>
      <c r="C49" s="61"/>
      <c r="D49" s="62"/>
      <c r="E49" s="61"/>
      <c r="F49" s="62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2.75" customHeight="1" x14ac:dyDescent="0.35">
      <c r="A50" s="61"/>
      <c r="B50" s="61"/>
      <c r="C50" s="61"/>
      <c r="D50" s="62"/>
      <c r="E50" s="61"/>
      <c r="F50" s="62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2.75" customHeight="1" x14ac:dyDescent="0.35">
      <c r="A51" s="61"/>
      <c r="B51" s="61"/>
      <c r="C51" s="61"/>
      <c r="D51" s="62"/>
      <c r="E51" s="61"/>
      <c r="F51" s="62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2.75" customHeight="1" x14ac:dyDescent="0.35">
      <c r="A52" s="61"/>
      <c r="B52" s="61"/>
      <c r="C52" s="61"/>
      <c r="D52" s="62"/>
      <c r="E52" s="61"/>
      <c r="F52" s="62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2.75" customHeight="1" x14ac:dyDescent="0.35">
      <c r="A53" s="61"/>
      <c r="B53" s="61"/>
      <c r="C53" s="61"/>
      <c r="D53" s="62"/>
      <c r="E53" s="61"/>
      <c r="F53" s="62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12.75" customHeight="1" x14ac:dyDescent="0.35">
      <c r="A54" s="61"/>
      <c r="B54" s="61"/>
      <c r="C54" s="61"/>
      <c r="D54" s="62"/>
      <c r="E54" s="61"/>
      <c r="F54" s="62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2.75" customHeight="1" x14ac:dyDescent="0.35">
      <c r="A55" s="61"/>
      <c r="B55" s="61"/>
      <c r="C55" s="61"/>
      <c r="D55" s="62"/>
      <c r="E55" s="61"/>
      <c r="F55" s="62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2.75" customHeight="1" x14ac:dyDescent="0.35">
      <c r="A56" s="61"/>
      <c r="B56" s="61"/>
      <c r="C56" s="61"/>
      <c r="D56" s="62"/>
      <c r="E56" s="61"/>
      <c r="F56" s="62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2.75" customHeight="1" x14ac:dyDescent="0.35">
      <c r="A57" s="61"/>
      <c r="B57" s="61"/>
      <c r="C57" s="61"/>
      <c r="D57" s="62"/>
      <c r="E57" s="61"/>
      <c r="F57" s="62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12.75" customHeight="1" x14ac:dyDescent="0.35">
      <c r="A58" s="61"/>
      <c r="B58" s="61"/>
      <c r="C58" s="61"/>
      <c r="D58" s="62"/>
      <c r="E58" s="61"/>
      <c r="F58" s="62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2.75" customHeight="1" x14ac:dyDescent="0.35">
      <c r="A59" s="61"/>
      <c r="B59" s="61"/>
      <c r="C59" s="61"/>
      <c r="D59" s="62"/>
      <c r="E59" s="61"/>
      <c r="F59" s="62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5" customHeight="1" x14ac:dyDescent="0.35">
      <c r="A60" s="61"/>
      <c r="B60" s="61"/>
      <c r="C60" s="61"/>
      <c r="D60" s="62"/>
      <c r="E60" s="61"/>
      <c r="F60" s="62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2.75" customHeight="1" x14ac:dyDescent="0.35">
      <c r="A61" s="61"/>
      <c r="B61" s="61"/>
      <c r="C61" s="61"/>
      <c r="D61" s="62"/>
      <c r="E61" s="61"/>
      <c r="F61" s="62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5" customHeight="1" x14ac:dyDescent="0.35">
      <c r="A62" s="61"/>
      <c r="B62" s="61"/>
      <c r="C62" s="61"/>
      <c r="D62" s="62"/>
      <c r="E62" s="61"/>
      <c r="F62" s="62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5" customHeight="1" x14ac:dyDescent="0.35">
      <c r="A63" s="61"/>
      <c r="B63" s="61"/>
      <c r="C63" s="61"/>
      <c r="D63" s="62"/>
      <c r="E63" s="61"/>
      <c r="F63" s="62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25.5" customHeight="1" x14ac:dyDescent="0.35">
      <c r="A64" s="61"/>
      <c r="B64" s="61"/>
      <c r="C64" s="61"/>
      <c r="D64" s="62"/>
      <c r="E64" s="61"/>
      <c r="F64" s="62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2.75" customHeight="1" x14ac:dyDescent="0.35">
      <c r="A65" s="61"/>
      <c r="B65" s="61"/>
      <c r="C65" s="61"/>
      <c r="D65" s="62"/>
      <c r="E65" s="61"/>
      <c r="F65" s="62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2.75" customHeight="1" x14ac:dyDescent="0.35">
      <c r="A66" s="61"/>
      <c r="B66" s="61"/>
      <c r="C66" s="61"/>
      <c r="D66" s="62"/>
      <c r="E66" s="61"/>
      <c r="F66" s="62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25.5" customHeight="1" x14ac:dyDescent="0.35">
      <c r="A67" s="61"/>
      <c r="B67" s="61"/>
      <c r="C67" s="61"/>
      <c r="D67" s="62"/>
      <c r="E67" s="61"/>
      <c r="F67" s="62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25.5" customHeight="1" x14ac:dyDescent="0.35">
      <c r="A68" s="61"/>
      <c r="B68" s="61"/>
      <c r="C68" s="61"/>
      <c r="D68" s="62"/>
      <c r="E68" s="61"/>
      <c r="F68" s="62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2.75" customHeight="1" x14ac:dyDescent="0.35">
      <c r="A69" s="61"/>
      <c r="B69" s="61"/>
      <c r="C69" s="61"/>
      <c r="D69" s="62"/>
      <c r="E69" s="61"/>
      <c r="F69" s="62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2.75" customHeight="1" x14ac:dyDescent="0.35">
      <c r="A70" s="61"/>
      <c r="B70" s="61"/>
      <c r="C70" s="61"/>
      <c r="D70" s="62"/>
      <c r="E70" s="61"/>
      <c r="F70" s="62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2.75" customHeight="1" x14ac:dyDescent="0.35">
      <c r="A71" s="61"/>
      <c r="B71" s="61"/>
      <c r="C71" s="61"/>
      <c r="D71" s="62"/>
      <c r="E71" s="61"/>
      <c r="F71" s="62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2.75" customHeight="1" x14ac:dyDescent="0.35">
      <c r="A72" s="61"/>
      <c r="B72" s="61"/>
      <c r="C72" s="61"/>
      <c r="D72" s="62"/>
      <c r="E72" s="61"/>
      <c r="F72" s="62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2.75" customHeight="1" x14ac:dyDescent="0.35">
      <c r="A73" s="61"/>
      <c r="B73" s="61"/>
      <c r="C73" s="61"/>
      <c r="D73" s="62"/>
      <c r="E73" s="61"/>
      <c r="F73" s="62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2.75" customHeight="1" x14ac:dyDescent="0.35">
      <c r="A74" s="61"/>
      <c r="B74" s="61"/>
      <c r="C74" s="61"/>
      <c r="D74" s="62"/>
      <c r="E74" s="61"/>
      <c r="F74" s="62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2.75" customHeight="1" x14ac:dyDescent="0.35">
      <c r="A75" s="61"/>
      <c r="B75" s="61"/>
      <c r="C75" s="61"/>
      <c r="D75" s="62"/>
      <c r="E75" s="61"/>
      <c r="F75" s="62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2.75" customHeight="1" x14ac:dyDescent="0.35">
      <c r="A76" s="61"/>
      <c r="B76" s="61"/>
      <c r="C76" s="61"/>
      <c r="D76" s="62"/>
      <c r="E76" s="61"/>
      <c r="F76" s="62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2.75" customHeight="1" x14ac:dyDescent="0.35">
      <c r="A77" s="61"/>
      <c r="B77" s="61"/>
      <c r="C77" s="61"/>
      <c r="D77" s="62"/>
      <c r="E77" s="61"/>
      <c r="F77" s="62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2.75" customHeight="1" x14ac:dyDescent="0.35">
      <c r="A78" s="61"/>
      <c r="B78" s="61"/>
      <c r="C78" s="61"/>
      <c r="D78" s="62"/>
      <c r="E78" s="61"/>
      <c r="F78" s="62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2.75" customHeight="1" x14ac:dyDescent="0.35">
      <c r="A79" s="61"/>
      <c r="B79" s="61"/>
      <c r="C79" s="61"/>
      <c r="D79" s="62"/>
      <c r="E79" s="61"/>
      <c r="F79" s="62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2.75" customHeight="1" x14ac:dyDescent="0.35">
      <c r="A80" s="61"/>
      <c r="B80" s="61"/>
      <c r="C80" s="61"/>
      <c r="D80" s="62"/>
      <c r="E80" s="61"/>
      <c r="F80" s="62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12.75" customHeight="1" x14ac:dyDescent="0.35">
      <c r="A81" s="61"/>
      <c r="B81" s="61"/>
      <c r="C81" s="61"/>
      <c r="D81" s="62"/>
      <c r="E81" s="61"/>
      <c r="F81" s="62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2.75" customHeight="1" x14ac:dyDescent="0.35">
      <c r="A82" s="61"/>
      <c r="B82" s="61"/>
      <c r="C82" s="61"/>
      <c r="D82" s="62"/>
      <c r="E82" s="61"/>
      <c r="F82" s="62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12.75" customHeight="1" x14ac:dyDescent="0.35">
      <c r="A83" s="61"/>
      <c r="B83" s="61"/>
      <c r="C83" s="61"/>
      <c r="D83" s="62"/>
      <c r="E83" s="61"/>
      <c r="F83" s="62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25.5" customHeight="1" x14ac:dyDescent="0.35">
      <c r="A84" s="61"/>
      <c r="B84" s="61"/>
      <c r="C84" s="61"/>
      <c r="D84" s="62"/>
      <c r="E84" s="61"/>
      <c r="F84" s="62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25.5" customHeight="1" x14ac:dyDescent="0.35">
      <c r="A85" s="61"/>
      <c r="B85" s="61"/>
      <c r="C85" s="61"/>
      <c r="D85" s="62"/>
      <c r="E85" s="61"/>
      <c r="F85" s="62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25.5" customHeight="1" x14ac:dyDescent="0.35">
      <c r="A86" s="61"/>
      <c r="B86" s="61"/>
      <c r="C86" s="61"/>
      <c r="D86" s="62"/>
      <c r="E86" s="61"/>
      <c r="F86" s="62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12.75" customHeight="1" x14ac:dyDescent="0.35">
      <c r="A87" s="61"/>
      <c r="B87" s="61"/>
      <c r="C87" s="61"/>
      <c r="D87" s="62"/>
      <c r="E87" s="61"/>
      <c r="F87" s="62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12.75" customHeight="1" x14ac:dyDescent="0.35">
      <c r="A88" s="61"/>
      <c r="B88" s="61"/>
      <c r="C88" s="61"/>
      <c r="D88" s="62"/>
      <c r="E88" s="61"/>
      <c r="F88" s="62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12.75" customHeight="1" x14ac:dyDescent="0.35">
      <c r="A89" s="61"/>
      <c r="B89" s="61"/>
      <c r="C89" s="61"/>
      <c r="D89" s="62"/>
      <c r="E89" s="61"/>
      <c r="F89" s="62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25.5" customHeight="1" x14ac:dyDescent="0.35">
      <c r="A90" s="61"/>
      <c r="B90" s="61"/>
      <c r="C90" s="61"/>
      <c r="D90" s="62"/>
      <c r="E90" s="61"/>
      <c r="F90" s="62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12.75" customHeight="1" x14ac:dyDescent="0.35">
      <c r="A91" s="61"/>
      <c r="B91" s="61"/>
      <c r="C91" s="61"/>
      <c r="D91" s="62"/>
      <c r="E91" s="61"/>
      <c r="F91" s="62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12.75" customHeight="1" x14ac:dyDescent="0.35">
      <c r="A92" s="61"/>
      <c r="B92" s="61"/>
      <c r="C92" s="61"/>
      <c r="D92" s="62"/>
      <c r="E92" s="61"/>
      <c r="F92" s="62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12.75" customHeight="1" x14ac:dyDescent="0.35">
      <c r="A93" s="61"/>
      <c r="B93" s="61"/>
      <c r="C93" s="61"/>
      <c r="D93" s="62"/>
      <c r="E93" s="61"/>
      <c r="F93" s="62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12.75" customHeight="1" x14ac:dyDescent="0.35">
      <c r="A94" s="61"/>
      <c r="B94" s="61"/>
      <c r="C94" s="61"/>
      <c r="D94" s="62"/>
      <c r="E94" s="61"/>
      <c r="F94" s="62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12.75" customHeight="1" x14ac:dyDescent="0.35">
      <c r="A95" s="61"/>
      <c r="B95" s="61"/>
      <c r="C95" s="61"/>
      <c r="D95" s="62"/>
      <c r="E95" s="61"/>
      <c r="F95" s="62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12.75" customHeight="1" x14ac:dyDescent="0.35">
      <c r="A96" s="61"/>
      <c r="B96" s="61"/>
      <c r="C96" s="61"/>
      <c r="D96" s="62"/>
      <c r="E96" s="61"/>
      <c r="F96" s="62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12.75" customHeight="1" x14ac:dyDescent="0.35">
      <c r="A97" s="61"/>
      <c r="B97" s="61"/>
      <c r="C97" s="61"/>
      <c r="D97" s="62"/>
      <c r="E97" s="61"/>
      <c r="F97" s="62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12.75" customHeight="1" x14ac:dyDescent="0.35">
      <c r="A98" s="61"/>
      <c r="B98" s="61"/>
      <c r="C98" s="61"/>
      <c r="D98" s="62"/>
      <c r="E98" s="61"/>
      <c r="F98" s="62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12.75" customHeight="1" x14ac:dyDescent="0.35">
      <c r="A99" s="61"/>
      <c r="B99" s="61"/>
      <c r="C99" s="61"/>
      <c r="D99" s="62"/>
      <c r="E99" s="61"/>
      <c r="F99" s="62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12.75" customHeight="1" x14ac:dyDescent="0.35">
      <c r="A100" s="61"/>
      <c r="B100" s="61"/>
      <c r="C100" s="61"/>
      <c r="D100" s="62"/>
      <c r="E100" s="61"/>
      <c r="F100" s="62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25.5" customHeight="1" x14ac:dyDescent="0.35"/>
    <row r="102" spans="1:26" ht="12.75" customHeight="1" x14ac:dyDescent="0.35"/>
    <row r="103" spans="1:26" ht="12.75" customHeight="1" x14ac:dyDescent="0.35"/>
    <row r="104" spans="1:26" ht="12.75" customHeight="1" x14ac:dyDescent="0.35"/>
    <row r="105" spans="1:26" ht="12.75" customHeight="1" x14ac:dyDescent="0.35"/>
    <row r="106" spans="1:26" ht="25.5" customHeight="1" x14ac:dyDescent="0.35"/>
    <row r="112" spans="1:26" ht="12.75" customHeight="1" x14ac:dyDescent="0.35"/>
    <row r="115" ht="25.5" customHeight="1" x14ac:dyDescent="0.35"/>
    <row r="116" ht="25.5" customHeight="1" x14ac:dyDescent="0.35"/>
    <row r="117" ht="12.75" customHeight="1" x14ac:dyDescent="0.35"/>
    <row r="122" ht="12.75" customHeight="1" x14ac:dyDescent="0.35"/>
    <row r="123" ht="12.75" customHeight="1" x14ac:dyDescent="0.35"/>
    <row r="124" ht="12.75" customHeight="1" x14ac:dyDescent="0.35"/>
    <row r="125" ht="12.75" customHeight="1" x14ac:dyDescent="0.35"/>
    <row r="126" ht="12.75" customHeight="1" x14ac:dyDescent="0.35"/>
    <row r="127" ht="12.75" customHeight="1" x14ac:dyDescent="0.35"/>
    <row r="128" ht="12.75" customHeight="1" x14ac:dyDescent="0.35"/>
    <row r="129" ht="12.75" customHeight="1" x14ac:dyDescent="0.35"/>
    <row r="130" ht="12.75" customHeight="1" x14ac:dyDescent="0.35"/>
    <row r="131" ht="12.75" customHeight="1" x14ac:dyDescent="0.35"/>
    <row r="132" ht="12.75" customHeight="1" x14ac:dyDescent="0.35"/>
    <row r="133" ht="12.75" customHeight="1" x14ac:dyDescent="0.35"/>
    <row r="134" ht="12.75" customHeight="1" x14ac:dyDescent="0.35"/>
    <row r="135" ht="12.75" customHeight="1" x14ac:dyDescent="0.35"/>
    <row r="136" ht="12.75" customHeight="1" x14ac:dyDescent="0.35"/>
    <row r="137" ht="12.75" customHeight="1" x14ac:dyDescent="0.35"/>
    <row r="138" ht="12.75" customHeight="1" x14ac:dyDescent="0.35"/>
    <row r="139" ht="12.75" customHeight="1" x14ac:dyDescent="0.35"/>
    <row r="140" ht="12.75" customHeight="1" x14ac:dyDescent="0.35"/>
    <row r="141" ht="12.75" customHeight="1" x14ac:dyDescent="0.35"/>
    <row r="142" ht="12.75" customHeight="1" x14ac:dyDescent="0.35"/>
    <row r="143" ht="12.75" customHeight="1" x14ac:dyDescent="0.35"/>
    <row r="144" ht="12.75" customHeight="1" x14ac:dyDescent="0.35"/>
    <row r="145" ht="12.75" customHeight="1" x14ac:dyDescent="0.35"/>
    <row r="146" ht="12.75" customHeight="1" x14ac:dyDescent="0.35"/>
    <row r="147" ht="25.5" customHeight="1" x14ac:dyDescent="0.35"/>
    <row r="148" ht="12.75" customHeight="1" x14ac:dyDescent="0.35"/>
    <row r="149" ht="12.75" customHeight="1" x14ac:dyDescent="0.35"/>
    <row r="150" ht="12.75" customHeight="1" x14ac:dyDescent="0.35"/>
    <row r="151" ht="12.75" customHeight="1" x14ac:dyDescent="0.35"/>
    <row r="152" ht="38.25" customHeight="1" x14ac:dyDescent="0.35"/>
    <row r="158" ht="25.5" customHeight="1" x14ac:dyDescent="0.35"/>
    <row r="163" ht="25.5" customHeight="1" x14ac:dyDescent="0.35"/>
    <row r="164" ht="25.5" customHeight="1" x14ac:dyDescent="0.35"/>
    <row r="171" ht="12.75" customHeight="1" x14ac:dyDescent="0.35"/>
    <row r="172" ht="25.5" customHeight="1" x14ac:dyDescent="0.35"/>
    <row r="173" ht="12.75" customHeight="1" x14ac:dyDescent="0.35"/>
    <row r="174" ht="12.75" customHeight="1" x14ac:dyDescent="0.35"/>
    <row r="175" ht="12.75" customHeight="1" x14ac:dyDescent="0.35"/>
    <row r="176" ht="12.75" customHeight="1" x14ac:dyDescent="0.35"/>
    <row r="177" ht="12.75" customHeight="1" x14ac:dyDescent="0.35"/>
    <row r="178" ht="12.75" customHeight="1" x14ac:dyDescent="0.35"/>
    <row r="179" ht="12.75" customHeight="1" x14ac:dyDescent="0.35"/>
    <row r="180" ht="12.75" customHeight="1" x14ac:dyDescent="0.35"/>
    <row r="181" ht="12.75" customHeight="1" x14ac:dyDescent="0.35"/>
    <row r="182" ht="12.75" customHeight="1" x14ac:dyDescent="0.35"/>
    <row r="183" ht="12.75" customHeight="1" x14ac:dyDescent="0.35"/>
    <row r="184" ht="12.75" customHeight="1" x14ac:dyDescent="0.35"/>
    <row r="185" ht="12.75" customHeight="1" x14ac:dyDescent="0.35"/>
    <row r="186" ht="12.75" customHeight="1" x14ac:dyDescent="0.35"/>
    <row r="187" ht="12.75" customHeight="1" x14ac:dyDescent="0.35"/>
    <row r="188" ht="12.75" customHeight="1" x14ac:dyDescent="0.35"/>
    <row r="189" ht="12.75" customHeight="1" x14ac:dyDescent="0.35"/>
    <row r="190" ht="12.75" customHeight="1" x14ac:dyDescent="0.35"/>
    <row r="191" ht="12.75" customHeight="1" x14ac:dyDescent="0.35"/>
    <row r="192" ht="12.75" customHeight="1" x14ac:dyDescent="0.35"/>
    <row r="193" ht="12.75" customHeight="1" x14ac:dyDescent="0.35"/>
    <row r="194" ht="12.75" customHeight="1" x14ac:dyDescent="0.35"/>
    <row r="195" ht="12.75" customHeight="1" x14ac:dyDescent="0.35"/>
    <row r="196" ht="12.75" customHeight="1" x14ac:dyDescent="0.35"/>
    <row r="197" ht="12.75" customHeight="1" x14ac:dyDescent="0.35"/>
    <row r="198" ht="12.75" customHeight="1" x14ac:dyDescent="0.35"/>
    <row r="199" ht="12.75" customHeight="1" x14ac:dyDescent="0.35"/>
    <row r="200" ht="12.75" customHeight="1" x14ac:dyDescent="0.35"/>
    <row r="201" ht="12.75" customHeight="1" x14ac:dyDescent="0.35"/>
    <row r="202" ht="38.25" customHeight="1" x14ac:dyDescent="0.35"/>
    <row r="208" ht="25.5" customHeight="1" x14ac:dyDescent="0.35"/>
    <row r="212" ht="25.5" customHeight="1" x14ac:dyDescent="0.35"/>
    <row r="213" ht="25.5" customHeight="1" x14ac:dyDescent="0.35"/>
    <row r="219" ht="12.75" customHeight="1" x14ac:dyDescent="0.35"/>
    <row r="220" ht="12.75" customHeight="1" x14ac:dyDescent="0.35"/>
    <row r="221" ht="12.75" customHeight="1" x14ac:dyDescent="0.35"/>
    <row r="222" ht="12.75" customHeight="1" x14ac:dyDescent="0.35"/>
    <row r="223" ht="12.75" customHeight="1" x14ac:dyDescent="0.35"/>
    <row r="224" ht="12.75" customHeight="1" x14ac:dyDescent="0.35"/>
    <row r="225" ht="12.75" customHeight="1" x14ac:dyDescent="0.35"/>
    <row r="226" ht="12.75" customHeight="1" x14ac:dyDescent="0.35"/>
    <row r="227" ht="12.75" customHeight="1" x14ac:dyDescent="0.35"/>
    <row r="228" ht="12.75" customHeight="1" x14ac:dyDescent="0.35"/>
    <row r="229" ht="12.75" customHeight="1" x14ac:dyDescent="0.35"/>
    <row r="230" ht="12.75" customHeight="1" x14ac:dyDescent="0.35"/>
    <row r="231" ht="12.75" customHeight="1" x14ac:dyDescent="0.35"/>
    <row r="232" ht="12.75" customHeight="1" x14ac:dyDescent="0.35"/>
    <row r="233" ht="12.75" customHeight="1" x14ac:dyDescent="0.35"/>
    <row r="234" ht="12.75" customHeight="1" x14ac:dyDescent="0.35"/>
    <row r="235" ht="12.75" customHeight="1" x14ac:dyDescent="0.35"/>
    <row r="236" ht="12.75" customHeight="1" x14ac:dyDescent="0.35"/>
    <row r="237" ht="12.75" customHeight="1" x14ac:dyDescent="0.35"/>
    <row r="238" ht="12.75" customHeight="1" x14ac:dyDescent="0.35"/>
    <row r="239" ht="12.75" customHeight="1" x14ac:dyDescent="0.35"/>
    <row r="240" ht="12.75" customHeight="1" x14ac:dyDescent="0.35"/>
    <row r="241" ht="12.75" customHeight="1" x14ac:dyDescent="0.35"/>
    <row r="242" ht="12.75" customHeight="1" x14ac:dyDescent="0.35"/>
    <row r="243" ht="12.75" customHeight="1" x14ac:dyDescent="0.35"/>
    <row r="244" ht="12.75" customHeight="1" x14ac:dyDescent="0.35"/>
    <row r="245" ht="12.75" customHeight="1" x14ac:dyDescent="0.35"/>
    <row r="246" ht="12.75" customHeight="1" x14ac:dyDescent="0.35"/>
    <row r="247" ht="12.75" customHeight="1" x14ac:dyDescent="0.35"/>
    <row r="248" ht="12.75" customHeight="1" x14ac:dyDescent="0.35"/>
    <row r="249" ht="12.75" customHeight="1" x14ac:dyDescent="0.35"/>
    <row r="250" ht="25.5" customHeight="1" x14ac:dyDescent="0.35"/>
    <row r="256" ht="25.5" customHeight="1" x14ac:dyDescent="0.35"/>
    <row r="260" ht="25.5" customHeight="1" x14ac:dyDescent="0.35"/>
    <row r="261" ht="25.5" customHeight="1" x14ac:dyDescent="0.35"/>
    <row r="267" ht="25.5" customHeight="1" x14ac:dyDescent="0.35"/>
    <row r="268" ht="12.75" customHeight="1" x14ac:dyDescent="0.35"/>
    <row r="293" ht="25.5" customHeight="1" x14ac:dyDescent="0.35"/>
    <row r="294" ht="12.75" customHeight="1" x14ac:dyDescent="0.35"/>
    <row r="304" ht="12.75" customHeight="1" x14ac:dyDescent="0.35"/>
    <row r="307" ht="25.5" customHeight="1" x14ac:dyDescent="0.35"/>
    <row r="308" ht="25.5" customHeight="1" x14ac:dyDescent="0.35"/>
    <row r="309" ht="25.5" customHeight="1" x14ac:dyDescent="0.35"/>
    <row r="310" ht="25.5" customHeight="1" x14ac:dyDescent="0.35"/>
    <row r="311" ht="25.5" customHeight="1" x14ac:dyDescent="0.35"/>
    <row r="312" ht="25.5" customHeight="1" x14ac:dyDescent="0.35"/>
    <row r="313" ht="25.5" customHeight="1" x14ac:dyDescent="0.35"/>
    <row r="329" ht="25.5" customHeight="1" x14ac:dyDescent="0.35"/>
    <row r="330" ht="25.5" customHeight="1" x14ac:dyDescent="0.35"/>
    <row r="362" ht="12.75" customHeight="1" x14ac:dyDescent="0.35"/>
    <row r="363" ht="12.75" customHeight="1" x14ac:dyDescent="0.35"/>
    <row r="379" ht="25.5" customHeight="1" x14ac:dyDescent="0.35"/>
    <row r="380" ht="12.75" customHeight="1" x14ac:dyDescent="0.35"/>
    <row r="402" ht="25.5" customHeight="1" x14ac:dyDescent="0.35"/>
    <row r="406" ht="12.75" customHeight="1" x14ac:dyDescent="0.35"/>
    <row r="411" ht="25.5" customHeight="1" x14ac:dyDescent="0.35"/>
    <row r="412" ht="25.5" customHeight="1" x14ac:dyDescent="0.35"/>
    <row r="421" ht="25.5" customHeight="1" x14ac:dyDescent="0.35"/>
    <row r="422" ht="12.75" customHeight="1" x14ac:dyDescent="0.35"/>
    <row r="444" ht="25.5" customHeight="1" x14ac:dyDescent="0.35"/>
    <row r="448" ht="12.75" customHeight="1" x14ac:dyDescent="0.35"/>
    <row r="453" ht="25.5" customHeight="1" x14ac:dyDescent="0.35"/>
    <row r="454" ht="25.5" customHeight="1" x14ac:dyDescent="0.35"/>
    <row r="462" ht="25.5" customHeight="1" x14ac:dyDescent="0.35"/>
    <row r="463" ht="25.5" customHeight="1" x14ac:dyDescent="0.35"/>
    <row r="464" ht="12.75" customHeight="1" x14ac:dyDescent="0.35"/>
    <row r="486" ht="25.5" customHeight="1" x14ac:dyDescent="0.35"/>
    <row r="490" ht="12.75" customHeight="1" x14ac:dyDescent="0.35"/>
    <row r="495" ht="25.5" customHeight="1" x14ac:dyDescent="0.35"/>
    <row r="496" ht="25.5" customHeight="1" x14ac:dyDescent="0.35"/>
    <row r="504" ht="25.5" customHeight="1" x14ac:dyDescent="0.35"/>
    <row r="505" ht="25.5" customHeight="1" x14ac:dyDescent="0.35"/>
    <row r="506" ht="12.75" customHeight="1" x14ac:dyDescent="0.35"/>
    <row r="508" ht="25.5" customHeight="1" x14ac:dyDescent="0.35"/>
    <row r="522" ht="25.5" customHeight="1" x14ac:dyDescent="0.35"/>
    <row r="525" ht="25.5" customHeight="1" x14ac:dyDescent="0.35"/>
    <row r="532" ht="25.5" customHeight="1" x14ac:dyDescent="0.35"/>
    <row r="533" ht="12.75" customHeight="1" x14ac:dyDescent="0.35"/>
    <row r="556" ht="25.5" customHeight="1" x14ac:dyDescent="0.35"/>
    <row r="557" ht="12.75" customHeight="1" x14ac:dyDescent="0.35"/>
    <row r="558" ht="12.75" customHeight="1" x14ac:dyDescent="0.35"/>
    <row r="559" ht="12.75" customHeight="1" x14ac:dyDescent="0.35"/>
    <row r="560" ht="12.75" customHeight="1" x14ac:dyDescent="0.35"/>
    <row r="561" ht="12.75" customHeight="1" x14ac:dyDescent="0.35"/>
    <row r="562" ht="12.75" customHeight="1" x14ac:dyDescent="0.35"/>
    <row r="563" ht="12.75" customHeight="1" x14ac:dyDescent="0.35"/>
    <row r="564" ht="12.75" customHeight="1" x14ac:dyDescent="0.35"/>
    <row r="565" ht="12.75" customHeight="1" x14ac:dyDescent="0.35"/>
    <row r="566" ht="12.75" customHeight="1" x14ac:dyDescent="0.35"/>
    <row r="567" ht="12.75" customHeight="1" x14ac:dyDescent="0.35"/>
    <row r="568" ht="12.75" customHeight="1" x14ac:dyDescent="0.35"/>
    <row r="569" ht="12.75" customHeight="1" x14ac:dyDescent="0.35"/>
    <row r="570" ht="12.75" customHeight="1" x14ac:dyDescent="0.35"/>
    <row r="571" ht="12.75" customHeight="1" x14ac:dyDescent="0.35"/>
    <row r="572" ht="12.75" customHeight="1" x14ac:dyDescent="0.35"/>
    <row r="573" ht="12.75" customHeight="1" x14ac:dyDescent="0.35"/>
    <row r="574" ht="12.75" customHeight="1" x14ac:dyDescent="0.35"/>
    <row r="575" ht="12.75" customHeight="1" x14ac:dyDescent="0.35"/>
    <row r="576" ht="12.75" customHeight="1" x14ac:dyDescent="0.35"/>
    <row r="577" ht="12.75" customHeight="1" x14ac:dyDescent="0.35"/>
    <row r="578" ht="25.5" customHeight="1" x14ac:dyDescent="0.35"/>
    <row r="580" ht="12.75" customHeight="1" x14ac:dyDescent="0.35"/>
    <row r="581" ht="12.75" customHeight="1" x14ac:dyDescent="0.35"/>
    <row r="582" ht="25.5" customHeight="1" x14ac:dyDescent="0.35"/>
    <row r="583" ht="12.75" customHeight="1" x14ac:dyDescent="0.35"/>
    <row r="584" ht="25.5" customHeight="1" x14ac:dyDescent="0.35"/>
    <row r="585" ht="25.5" customHeight="1" x14ac:dyDescent="0.35"/>
    <row r="586" ht="25.5" customHeight="1" x14ac:dyDescent="0.35"/>
    <row r="587" ht="12.75" customHeight="1" x14ac:dyDescent="0.35"/>
    <row r="588" ht="12.75" customHeight="1" x14ac:dyDescent="0.35"/>
    <row r="589" ht="12.75" customHeight="1" x14ac:dyDescent="0.35"/>
    <row r="591" ht="25.5" customHeight="1" x14ac:dyDescent="0.35"/>
    <row r="592" ht="12.75" customHeight="1" x14ac:dyDescent="0.35"/>
    <row r="593" ht="25.5" customHeight="1" x14ac:dyDescent="0.35"/>
    <row r="594" ht="25.5" customHeight="1" x14ac:dyDescent="0.35"/>
    <row r="595" ht="25.5" customHeight="1" x14ac:dyDescent="0.35"/>
    <row r="596" ht="12.75" customHeight="1" x14ac:dyDescent="0.35"/>
    <row r="597" ht="12.75" customHeight="1" x14ac:dyDescent="0.35"/>
    <row r="599" ht="12.75" customHeight="1" x14ac:dyDescent="0.35"/>
    <row r="600" ht="12.75" customHeight="1" x14ac:dyDescent="0.35"/>
    <row r="602" ht="25.5" customHeight="1" x14ac:dyDescent="0.35"/>
    <row r="604" ht="38.25" customHeight="1" x14ac:dyDescent="0.35"/>
    <row r="605" ht="12.75" customHeight="1" x14ac:dyDescent="0.35"/>
    <row r="606" ht="12.75" customHeight="1" x14ac:dyDescent="0.35"/>
    <row r="607" ht="25.5" customHeight="1" x14ac:dyDescent="0.35"/>
    <row r="608" ht="25.5" customHeight="1" x14ac:dyDescent="0.35"/>
    <row r="609" ht="25.5" customHeight="1" x14ac:dyDescent="0.35"/>
    <row r="610" ht="12.75" customHeight="1" x14ac:dyDescent="0.35"/>
    <row r="611" ht="12.75" customHeight="1" x14ac:dyDescent="0.35"/>
    <row r="612" ht="12.75" customHeight="1" x14ac:dyDescent="0.35"/>
    <row r="613" ht="12.75" customHeight="1" x14ac:dyDescent="0.35"/>
    <row r="614" ht="12.75" customHeight="1" x14ac:dyDescent="0.35"/>
    <row r="615" ht="12.75" customHeight="1" x14ac:dyDescent="0.35"/>
    <row r="616" ht="12.75" customHeight="1" x14ac:dyDescent="0.35"/>
    <row r="617" ht="12.75" customHeight="1" x14ac:dyDescent="0.35"/>
    <row r="618" ht="12.75" customHeight="1" x14ac:dyDescent="0.35"/>
    <row r="621" ht="12.75" customHeight="1" x14ac:dyDescent="0.35"/>
    <row r="622" ht="12.75" customHeight="1" x14ac:dyDescent="0.35"/>
    <row r="623" ht="12.75" customHeight="1" x14ac:dyDescent="0.35"/>
    <row r="624" ht="12.75" customHeight="1" x14ac:dyDescent="0.35"/>
    <row r="625" ht="12.75" customHeight="1" x14ac:dyDescent="0.35"/>
    <row r="655" ht="25.5" customHeight="1" x14ac:dyDescent="0.35"/>
    <row r="661" ht="38.25" customHeight="1" x14ac:dyDescent="0.35"/>
    <row r="662" ht="25.5" customHeight="1" x14ac:dyDescent="0.35"/>
    <row r="678" ht="12.75" customHeight="1" x14ac:dyDescent="0.35"/>
    <row r="679" ht="12.75" customHeight="1" x14ac:dyDescent="0.35"/>
    <row r="680" ht="12.75" customHeight="1" x14ac:dyDescent="0.35"/>
    <row r="681" ht="25.5" customHeight="1" x14ac:dyDescent="0.35"/>
    <row r="682" ht="12.75" customHeight="1" x14ac:dyDescent="0.35"/>
    <row r="683" ht="12.75" customHeight="1" x14ac:dyDescent="0.35"/>
    <row r="684" ht="12.75" customHeight="1" x14ac:dyDescent="0.35"/>
    <row r="685" ht="12.75" customHeight="1" x14ac:dyDescent="0.35"/>
    <row r="686" ht="12.75" customHeight="1" x14ac:dyDescent="0.35"/>
    <row r="705" ht="25.5" customHeight="1" x14ac:dyDescent="0.35"/>
    <row r="708" ht="12.75" customHeight="1" x14ac:dyDescent="0.35"/>
    <row r="709" ht="12.75" customHeight="1" x14ac:dyDescent="0.35"/>
    <row r="710" ht="25.5" customHeight="1" x14ac:dyDescent="0.35"/>
    <row r="721" ht="25.5" customHeight="1" x14ac:dyDescent="0.35"/>
    <row r="722" ht="25.5" customHeight="1" x14ac:dyDescent="0.35"/>
    <row r="728" ht="24" customHeight="1" x14ac:dyDescent="0.35"/>
    <row r="729" ht="24" customHeight="1" x14ac:dyDescent="0.35"/>
    <row r="730" ht="12.75" customHeight="1" x14ac:dyDescent="0.35"/>
    <row r="731" ht="12.75" customHeight="1" x14ac:dyDescent="0.35"/>
    <row r="732" ht="12.75" customHeight="1" x14ac:dyDescent="0.35"/>
    <row r="733" ht="25.5" customHeight="1" x14ac:dyDescent="0.35"/>
    <row r="734" ht="12.75" customHeight="1" x14ac:dyDescent="0.35"/>
    <row r="735" ht="12.75" customHeight="1" x14ac:dyDescent="0.35"/>
    <row r="736" ht="12.75" customHeight="1" x14ac:dyDescent="0.35"/>
    <row r="737" ht="12.75" customHeight="1" x14ac:dyDescent="0.35"/>
    <row r="738" ht="12.75" customHeight="1" x14ac:dyDescent="0.35"/>
    <row r="758" ht="25.5" customHeight="1" x14ac:dyDescent="0.35"/>
    <row r="761" ht="12.75" customHeight="1" x14ac:dyDescent="0.35"/>
    <row r="762" ht="12.75" customHeight="1" x14ac:dyDescent="0.35"/>
    <row r="763" ht="25.5" customHeight="1" x14ac:dyDescent="0.35"/>
    <row r="767" ht="25.5" customHeight="1" x14ac:dyDescent="0.35"/>
    <row r="768" ht="12.75" customHeight="1" x14ac:dyDescent="0.35"/>
    <row r="769" ht="25.5" customHeight="1" x14ac:dyDescent="0.35"/>
    <row r="770" ht="12.75" customHeight="1" x14ac:dyDescent="0.35"/>
    <row r="771" ht="12.75" customHeight="1" x14ac:dyDescent="0.35"/>
    <row r="772" ht="12.75" customHeight="1" x14ac:dyDescent="0.35"/>
    <row r="773" ht="25.5" customHeight="1" x14ac:dyDescent="0.35"/>
    <row r="774" ht="12.75" customHeight="1" x14ac:dyDescent="0.35"/>
    <row r="775" ht="12.75" customHeight="1" x14ac:dyDescent="0.35"/>
    <row r="776" ht="12.75" customHeight="1" x14ac:dyDescent="0.35"/>
    <row r="777" ht="12.75" customHeight="1" x14ac:dyDescent="0.35"/>
    <row r="778" ht="25.5" customHeight="1" x14ac:dyDescent="0.35"/>
    <row r="779" ht="25.5" customHeight="1" x14ac:dyDescent="0.35"/>
    <row r="782" ht="12.75" customHeight="1" x14ac:dyDescent="0.35"/>
    <row r="783" ht="12.75" customHeight="1" x14ac:dyDescent="0.35"/>
    <row r="784" ht="12.75" customHeight="1" x14ac:dyDescent="0.35"/>
    <row r="785" ht="12.75" customHeight="1" x14ac:dyDescent="0.35"/>
    <row r="786" ht="12.75" customHeight="1" x14ac:dyDescent="0.35"/>
    <row r="787" ht="12.75" customHeight="1" x14ac:dyDescent="0.35"/>
    <row r="788" ht="12.75" customHeight="1" x14ac:dyDescent="0.35"/>
    <row r="789" ht="12.75" customHeight="1" x14ac:dyDescent="0.35"/>
    <row r="795" ht="25.5" customHeight="1" x14ac:dyDescent="0.35"/>
    <row r="796" ht="12.75" customHeight="1" x14ac:dyDescent="0.35"/>
    <row r="797" ht="12.75" customHeight="1" x14ac:dyDescent="0.35"/>
    <row r="798" ht="12.75" customHeight="1" x14ac:dyDescent="0.35"/>
    <row r="799" ht="12.75" customHeight="1" x14ac:dyDescent="0.35"/>
    <row r="802" ht="12.75" customHeight="1" x14ac:dyDescent="0.35"/>
    <row r="803" ht="25.5" customHeight="1" x14ac:dyDescent="0.35"/>
    <row r="804" ht="25.5" customHeight="1" x14ac:dyDescent="0.35"/>
    <row r="815" ht="25.5" customHeight="1" x14ac:dyDescent="0.35"/>
    <row r="831" ht="25.5" customHeight="1" x14ac:dyDescent="0.35"/>
    <row r="842" ht="25.5" customHeight="1" x14ac:dyDescent="0.35"/>
    <row r="845" ht="25.5" customHeight="1" x14ac:dyDescent="0.35"/>
    <row r="858" ht="25.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autoFilter ref="A1:F870" xr:uid="{00000000-0009-0000-0000-000002000000}"/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C1" zoomScaleNormal="100" workbookViewId="0">
      <pane ySplit="8" topLeftCell="A13" activePane="bottomLeft" state="frozen"/>
      <selection pane="bottomLeft" activeCell="F9" sqref="F9:G14"/>
    </sheetView>
  </sheetViews>
  <sheetFormatPr defaultColWidth="14.453125" defaultRowHeight="14.5" x14ac:dyDescent="0.35"/>
  <cols>
    <col min="1" max="1" width="16" customWidth="1"/>
    <col min="2" max="2" width="28" customWidth="1"/>
    <col min="3" max="4" width="50" customWidth="1"/>
    <col min="5" max="5" width="22" customWidth="1"/>
    <col min="6" max="6" width="13" customWidth="1"/>
    <col min="7" max="7" width="11" customWidth="1"/>
    <col min="8" max="8" width="24" customWidth="1"/>
    <col min="9" max="9" width="9.453125" customWidth="1"/>
    <col min="10" max="10" width="7.54296875" hidden="1" customWidth="1"/>
    <col min="11" max="11" width="10.26953125" customWidth="1"/>
    <col min="12" max="26" width="9.08984375" customWidth="1"/>
  </cols>
  <sheetData>
    <row r="1" spans="1:26" ht="13.5" customHeight="1" x14ac:dyDescent="0.35">
      <c r="A1" s="63"/>
      <c r="B1" s="64"/>
      <c r="C1" s="64"/>
      <c r="D1" s="64"/>
      <c r="E1" s="64"/>
      <c r="F1" s="65"/>
      <c r="G1" s="66"/>
      <c r="H1" s="35"/>
      <c r="I1" s="6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" customHeight="1" x14ac:dyDescent="0.35">
      <c r="A2" s="69" t="s">
        <v>121</v>
      </c>
      <c r="B2" s="124" t="s">
        <v>122</v>
      </c>
      <c r="C2" s="124"/>
      <c r="D2" s="124"/>
      <c r="E2" s="124"/>
      <c r="F2" s="124"/>
      <c r="G2" s="124"/>
      <c r="H2" s="124"/>
      <c r="I2" s="67"/>
      <c r="J2" s="68" t="s">
        <v>123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25.5" customHeight="1" x14ac:dyDescent="0.35">
      <c r="A3" s="70" t="s">
        <v>124</v>
      </c>
      <c r="B3" s="124" t="s">
        <v>51</v>
      </c>
      <c r="C3" s="124"/>
      <c r="D3" s="124"/>
      <c r="E3" s="124"/>
      <c r="F3" s="124"/>
      <c r="G3" s="124"/>
      <c r="H3" s="124"/>
      <c r="I3" s="67"/>
      <c r="J3" s="68" t="s">
        <v>125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8" customHeight="1" x14ac:dyDescent="0.35">
      <c r="A4" s="69" t="s">
        <v>126</v>
      </c>
      <c r="B4" s="124" t="s">
        <v>4</v>
      </c>
      <c r="C4" s="124"/>
      <c r="D4" s="124"/>
      <c r="E4" s="124"/>
      <c r="F4" s="124"/>
      <c r="G4" s="124"/>
      <c r="H4" s="124"/>
      <c r="I4" s="67"/>
      <c r="J4" s="68" t="s">
        <v>127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 x14ac:dyDescent="0.35">
      <c r="A5" s="71" t="s">
        <v>123</v>
      </c>
      <c r="B5" s="72" t="s">
        <v>125</v>
      </c>
      <c r="C5" s="72" t="s">
        <v>128</v>
      </c>
      <c r="D5" s="72" t="s">
        <v>127</v>
      </c>
      <c r="E5" s="73" t="s">
        <v>129</v>
      </c>
      <c r="F5" s="125" t="s">
        <v>130</v>
      </c>
      <c r="G5" s="125"/>
      <c r="H5" s="125"/>
      <c r="I5" s="74"/>
      <c r="J5" s="68" t="s">
        <v>128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5" customHeight="1" x14ac:dyDescent="0.35">
      <c r="A6" s="75">
        <f>COUNTIF(F9:F996,"Passed")</f>
        <v>6</v>
      </c>
      <c r="B6" s="76">
        <f>COUNTIF(F9:F996,"Failed")</f>
        <v>0</v>
      </c>
      <c r="C6" s="76">
        <f>F6-E6-D6-B6-A6</f>
        <v>0</v>
      </c>
      <c r="D6" s="76">
        <f>COUNTIF(F$9:F$996,"Blocked")</f>
        <v>0</v>
      </c>
      <c r="E6" s="77">
        <f>COUNTIF(F$9:F$996,"Skipped")</f>
        <v>0</v>
      </c>
      <c r="F6" s="126">
        <f>COUNTA(A9:A996)</f>
        <v>6</v>
      </c>
      <c r="G6" s="126"/>
      <c r="H6" s="126"/>
      <c r="I6" s="74"/>
      <c r="J6" s="68" t="s">
        <v>129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5" customHeight="1" x14ac:dyDescent="0.35">
      <c r="A7" s="68"/>
      <c r="B7" s="68"/>
      <c r="C7" s="68"/>
      <c r="D7" s="78"/>
      <c r="E7" s="78"/>
      <c r="F7" s="78"/>
      <c r="G7" s="78"/>
      <c r="H7" s="78"/>
      <c r="I7" s="7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25.5" customHeight="1" x14ac:dyDescent="0.35">
      <c r="A8" s="79" t="s">
        <v>131</v>
      </c>
      <c r="B8" s="79" t="s">
        <v>132</v>
      </c>
      <c r="C8" s="79" t="s">
        <v>133</v>
      </c>
      <c r="D8" s="79" t="s">
        <v>134</v>
      </c>
      <c r="E8" s="80" t="s">
        <v>135</v>
      </c>
      <c r="F8" s="80" t="s">
        <v>136</v>
      </c>
      <c r="G8" s="80" t="s">
        <v>137</v>
      </c>
      <c r="H8" s="79" t="s">
        <v>49</v>
      </c>
      <c r="I8" s="81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70.5" customHeight="1" x14ac:dyDescent="0.35">
      <c r="A9" s="82" t="str">
        <f t="shared" ref="A9:A14" si="0">IF(OR(B9&lt;&gt;"",D9&lt;&gt;""),"["&amp;TEXT($B$2,"##")&amp;"-"&amp;TEXT(ROW()-8,"##")&amp;"]","")</f>
        <v>[ComposeWindow-1]</v>
      </c>
      <c r="B9" s="83" t="s">
        <v>53</v>
      </c>
      <c r="C9" s="83" t="s">
        <v>138</v>
      </c>
      <c r="D9" s="83" t="s">
        <v>139</v>
      </c>
      <c r="E9" s="84" t="s">
        <v>140</v>
      </c>
      <c r="F9" s="82" t="s">
        <v>123</v>
      </c>
      <c r="G9" s="85">
        <v>46324</v>
      </c>
      <c r="H9" s="86"/>
      <c r="I9" s="8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57.75" customHeight="1" x14ac:dyDescent="0.35">
      <c r="A10" s="82" t="str">
        <f t="shared" si="0"/>
        <v>[ComposeWindow-2]</v>
      </c>
      <c r="B10" s="83" t="s">
        <v>55</v>
      </c>
      <c r="C10" s="83" t="s">
        <v>141</v>
      </c>
      <c r="D10" s="83" t="s">
        <v>142</v>
      </c>
      <c r="E10" s="84" t="s">
        <v>140</v>
      </c>
      <c r="F10" s="82" t="s">
        <v>123</v>
      </c>
      <c r="G10" s="85">
        <v>46324</v>
      </c>
      <c r="H10" s="86"/>
      <c r="I10" s="8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96.75" customHeight="1" x14ac:dyDescent="0.35">
      <c r="A11" s="82" t="str">
        <f t="shared" si="0"/>
        <v>[ComposeWindow-3]</v>
      </c>
      <c r="B11" s="83" t="s">
        <v>58</v>
      </c>
      <c r="C11" s="83" t="s">
        <v>143</v>
      </c>
      <c r="D11" s="83" t="s">
        <v>144</v>
      </c>
      <c r="E11" s="84" t="s">
        <v>145</v>
      </c>
      <c r="F11" s="82" t="s">
        <v>123</v>
      </c>
      <c r="G11" s="85">
        <v>46324</v>
      </c>
      <c r="H11" s="86"/>
      <c r="I11" s="8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84" customHeight="1" x14ac:dyDescent="0.35">
      <c r="A12" s="82" t="str">
        <f t="shared" si="0"/>
        <v>[ComposeWindow-4]</v>
      </c>
      <c r="B12" s="83" t="s">
        <v>59</v>
      </c>
      <c r="C12" s="83" t="s">
        <v>146</v>
      </c>
      <c r="D12" s="83" t="s">
        <v>147</v>
      </c>
      <c r="E12" s="84" t="s">
        <v>145</v>
      </c>
      <c r="F12" s="82" t="s">
        <v>123</v>
      </c>
      <c r="G12" s="85">
        <v>46324</v>
      </c>
      <c r="H12" s="86"/>
      <c r="I12" s="8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31.5" customHeight="1" x14ac:dyDescent="0.35">
      <c r="A13" s="82" t="str">
        <f t="shared" si="0"/>
        <v>[ComposeWindow-5]</v>
      </c>
      <c r="B13" s="83" t="s">
        <v>60</v>
      </c>
      <c r="C13" s="83" t="s">
        <v>148</v>
      </c>
      <c r="D13" s="83" t="s">
        <v>149</v>
      </c>
      <c r="E13" s="84" t="s">
        <v>150</v>
      </c>
      <c r="F13" s="82" t="s">
        <v>123</v>
      </c>
      <c r="G13" s="85">
        <v>46324</v>
      </c>
      <c r="H13" s="86"/>
      <c r="I13" s="8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5" customHeight="1" x14ac:dyDescent="0.35">
      <c r="A14" s="82" t="str">
        <f t="shared" si="0"/>
        <v>[ComposeWindow-6]</v>
      </c>
      <c r="B14" s="83" t="s">
        <v>62</v>
      </c>
      <c r="C14" s="83" t="s">
        <v>151</v>
      </c>
      <c r="D14" s="83" t="s">
        <v>152</v>
      </c>
      <c r="E14" s="84" t="s">
        <v>140</v>
      </c>
      <c r="F14" s="82" t="s">
        <v>123</v>
      </c>
      <c r="G14" s="85">
        <v>46324</v>
      </c>
      <c r="H14" s="86"/>
      <c r="I14" s="8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35">
      <c r="A15" s="7"/>
      <c r="B15" s="7"/>
      <c r="C15" s="7"/>
      <c r="D15" s="7"/>
      <c r="E15" s="7"/>
      <c r="F15" s="7"/>
      <c r="G15" s="7"/>
      <c r="H15" s="7"/>
      <c r="I15" s="8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35">
      <c r="A16" s="7"/>
      <c r="B16" s="7"/>
      <c r="C16" s="7"/>
      <c r="D16" s="7"/>
      <c r="E16" s="7"/>
      <c r="F16" s="7"/>
      <c r="G16" s="7"/>
      <c r="H16" s="7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35">
      <c r="A17" s="7"/>
      <c r="B17" s="7"/>
      <c r="C17" s="7"/>
      <c r="D17" s="7"/>
      <c r="E17" s="7"/>
      <c r="F17" s="7"/>
      <c r="G17" s="7"/>
      <c r="H17" s="7"/>
      <c r="I17" s="8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x14ac:dyDescent="0.35">
      <c r="A18" s="7"/>
      <c r="B18" s="7"/>
      <c r="C18" s="7"/>
      <c r="D18" s="7"/>
      <c r="E18" s="7"/>
      <c r="F18" s="7"/>
      <c r="G18" s="7"/>
      <c r="H18" s="7"/>
      <c r="I18" s="8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x14ac:dyDescent="0.35">
      <c r="A19" s="7"/>
      <c r="B19" s="7"/>
      <c r="C19" s="7"/>
      <c r="D19" s="7"/>
      <c r="E19" s="7"/>
      <c r="F19" s="7"/>
      <c r="G19" s="7"/>
      <c r="H19" s="7"/>
      <c r="I19" s="8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x14ac:dyDescent="0.35">
      <c r="A20" s="7"/>
      <c r="B20" s="7"/>
      <c r="C20" s="7"/>
      <c r="D20" s="7"/>
      <c r="E20" s="7"/>
      <c r="F20" s="7"/>
      <c r="G20" s="7"/>
      <c r="H20" s="7"/>
      <c r="I20" s="8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x14ac:dyDescent="0.35">
      <c r="A21" s="7"/>
      <c r="B21" s="7"/>
      <c r="C21" s="7"/>
      <c r="D21" s="7"/>
      <c r="E21" s="7"/>
      <c r="F21" s="7"/>
      <c r="G21" s="7"/>
      <c r="H21" s="7"/>
      <c r="I21" s="8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x14ac:dyDescent="0.35">
      <c r="A22" s="7"/>
      <c r="B22" s="7"/>
      <c r="C22" s="7"/>
      <c r="D22" s="7"/>
      <c r="E22" s="7"/>
      <c r="F22" s="7"/>
      <c r="G22" s="7"/>
      <c r="H22" s="7"/>
      <c r="I22" s="8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x14ac:dyDescent="0.35">
      <c r="A23" s="7"/>
      <c r="B23" s="7"/>
      <c r="C23" s="7"/>
      <c r="D23" s="7"/>
      <c r="E23" s="7"/>
      <c r="F23" s="7"/>
      <c r="G23" s="7"/>
      <c r="H23" s="7"/>
      <c r="I23" s="8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35">
      <c r="A24" s="7"/>
      <c r="B24" s="7"/>
      <c r="C24" s="7"/>
      <c r="D24" s="7"/>
      <c r="E24" s="7"/>
      <c r="F24" s="7"/>
      <c r="G24" s="7"/>
      <c r="H24" s="7"/>
      <c r="I24" s="8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5">
      <c r="A25" s="7"/>
      <c r="B25" s="7"/>
      <c r="C25" s="7"/>
      <c r="D25" s="7"/>
      <c r="E25" s="7"/>
      <c r="F25" s="7"/>
      <c r="G25" s="7"/>
      <c r="H25" s="7"/>
      <c r="I25" s="8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5">
      <c r="A26" s="7"/>
      <c r="B26" s="7"/>
      <c r="C26" s="7"/>
      <c r="D26" s="7"/>
      <c r="E26" s="7"/>
      <c r="F26" s="7"/>
      <c r="G26" s="7"/>
      <c r="H26" s="7"/>
      <c r="I26" s="8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5">
      <c r="A27" s="7"/>
      <c r="B27" s="7"/>
      <c r="C27" s="7"/>
      <c r="D27" s="7"/>
      <c r="E27" s="7"/>
      <c r="F27" s="7"/>
      <c r="G27" s="7"/>
      <c r="H27" s="7"/>
      <c r="I27" s="8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5">
      <c r="A28" s="7"/>
      <c r="B28" s="7"/>
      <c r="C28" s="7"/>
      <c r="D28" s="7"/>
      <c r="E28" s="7"/>
      <c r="F28" s="7"/>
      <c r="G28" s="7"/>
      <c r="H28" s="7"/>
      <c r="I28" s="8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35">
      <c r="A29" s="7"/>
      <c r="B29" s="7"/>
      <c r="C29" s="7"/>
      <c r="D29" s="7"/>
      <c r="E29" s="7"/>
      <c r="F29" s="7"/>
      <c r="G29" s="7"/>
      <c r="H29" s="7"/>
      <c r="I29" s="8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35">
      <c r="A30" s="7"/>
      <c r="B30" s="7"/>
      <c r="C30" s="7"/>
      <c r="D30" s="7"/>
      <c r="E30" s="7"/>
      <c r="F30" s="7"/>
      <c r="G30" s="7"/>
      <c r="H30" s="7"/>
      <c r="I30" s="8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35">
      <c r="A31" s="7"/>
      <c r="B31" s="7"/>
      <c r="C31" s="7"/>
      <c r="D31" s="7"/>
      <c r="E31" s="7"/>
      <c r="F31" s="7"/>
      <c r="G31" s="7"/>
      <c r="H31" s="7"/>
      <c r="I31" s="8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35">
      <c r="A32" s="7"/>
      <c r="B32" s="7"/>
      <c r="C32" s="7"/>
      <c r="D32" s="7"/>
      <c r="E32" s="7"/>
      <c r="F32" s="7"/>
      <c r="G32" s="7"/>
      <c r="H32" s="7"/>
      <c r="I32" s="8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35">
      <c r="A33" s="7"/>
      <c r="B33" s="7"/>
      <c r="C33" s="7"/>
      <c r="D33" s="7"/>
      <c r="E33" s="7"/>
      <c r="F33" s="7"/>
      <c r="G33" s="7"/>
      <c r="H33" s="7"/>
      <c r="I33" s="8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35">
      <c r="A34" s="7"/>
      <c r="B34" s="7"/>
      <c r="C34" s="7"/>
      <c r="D34" s="7"/>
      <c r="E34" s="7"/>
      <c r="F34" s="7"/>
      <c r="G34" s="7"/>
      <c r="H34" s="7"/>
      <c r="I34" s="8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35">
      <c r="A35" s="7"/>
      <c r="B35" s="7"/>
      <c r="C35" s="7"/>
      <c r="D35" s="7"/>
      <c r="E35" s="7"/>
      <c r="F35" s="7"/>
      <c r="G35" s="7"/>
      <c r="H35" s="7"/>
      <c r="I35" s="8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35">
      <c r="A36" s="7"/>
      <c r="B36" s="7"/>
      <c r="C36" s="7"/>
      <c r="D36" s="7"/>
      <c r="E36" s="7"/>
      <c r="F36" s="7"/>
      <c r="G36" s="7"/>
      <c r="H36" s="7"/>
      <c r="I36" s="8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35">
      <c r="A37" s="7"/>
      <c r="B37" s="7"/>
      <c r="C37" s="7"/>
      <c r="D37" s="7"/>
      <c r="E37" s="7"/>
      <c r="F37" s="7"/>
      <c r="G37" s="7"/>
      <c r="H37" s="7"/>
      <c r="I37" s="8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35">
      <c r="A38" s="7"/>
      <c r="B38" s="7"/>
      <c r="C38" s="7"/>
      <c r="D38" s="7"/>
      <c r="E38" s="7"/>
      <c r="F38" s="7"/>
      <c r="G38" s="7"/>
      <c r="H38" s="7"/>
      <c r="I38" s="8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35">
      <c r="A39" s="7"/>
      <c r="B39" s="7"/>
      <c r="C39" s="7"/>
      <c r="D39" s="7"/>
      <c r="E39" s="7"/>
      <c r="F39" s="7"/>
      <c r="G39" s="7"/>
      <c r="H39" s="7"/>
      <c r="I39" s="8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8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8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8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8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8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8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8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8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8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8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8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8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8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8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8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8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8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8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8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8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8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8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8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8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8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8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8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8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8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8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8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8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8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8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8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8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8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8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8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8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8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8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8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8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8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8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8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8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8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8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8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8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8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8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8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8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8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8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8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8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8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8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8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8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8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8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8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8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8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8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8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8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8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8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8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8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8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8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8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8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8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8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8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8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8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8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8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8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8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8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8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8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8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8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8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8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8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8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8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8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8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8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8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8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8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8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8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8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8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8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8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8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8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8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8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8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8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8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8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8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8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8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8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8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8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8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8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8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8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8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8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8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8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8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8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8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8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8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8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8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8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8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8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8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8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8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8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8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8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8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8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8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8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8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8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8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8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8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8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8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8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8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8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8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8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8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8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8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8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8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8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8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8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8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8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8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8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8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8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8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8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8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8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8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8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8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8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8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8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8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8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8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8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8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8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8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8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8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8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8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8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8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8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8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8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8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8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8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8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8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8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8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8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8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8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8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8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8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8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8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8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8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8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8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8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8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8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8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8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8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8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8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8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8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8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8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8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8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8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8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8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8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8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8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8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8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8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8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8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8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8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8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8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8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8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8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8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8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8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8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8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8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8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8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8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8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8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8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8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8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8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8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8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8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8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8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8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8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8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8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8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8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8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8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8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8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8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8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8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8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8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8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8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8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8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8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8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8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8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8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8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8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8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8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8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8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8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8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8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8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8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8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8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8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8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8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8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8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8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8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8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8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8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8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8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8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8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8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8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8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8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8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8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8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8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8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8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8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8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8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8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8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8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8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8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8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8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8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8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8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8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8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8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8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8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8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8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8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8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8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8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8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8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8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8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8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8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8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8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8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8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8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8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8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8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8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8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8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8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8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8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8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8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8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8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8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8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8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8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8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8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8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8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8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8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8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8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8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8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8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8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8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8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8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8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8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8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8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8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8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8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8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8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8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8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8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8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8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8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8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8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8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8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8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8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8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8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8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8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8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8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8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8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8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8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8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8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8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8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8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8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8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8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8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8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8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8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8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8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8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8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8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8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8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8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8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8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8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8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8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8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8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8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8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8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8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8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8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8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8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8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8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8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8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8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8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8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8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8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8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8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8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8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8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8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8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8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8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8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8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8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8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8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8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8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8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8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8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8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8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8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8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8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8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8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8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8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8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8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8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8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8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8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8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8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8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8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8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8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8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8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8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8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8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8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8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8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8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8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8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8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8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8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8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8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8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8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8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8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8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8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8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8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8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8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8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8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8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8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8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8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8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8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8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8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8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8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8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8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8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8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8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8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8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8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8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8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8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8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8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8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8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8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8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8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8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8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8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8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8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8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8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8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8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8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8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8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8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8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8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8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8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8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8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8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8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8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8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8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8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8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8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8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8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8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8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8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8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8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8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8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8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8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8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8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8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8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8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8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8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8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8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8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8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8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8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8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8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8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8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8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8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8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8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8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8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8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8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8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8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8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8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8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8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8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8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8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8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8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8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8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8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8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8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8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8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8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8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8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8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8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8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8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8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8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8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8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8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8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8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8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8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8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8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8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8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8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8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8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8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8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8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8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8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8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8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8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8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8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8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8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8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8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8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8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8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8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8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8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8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8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8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8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8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8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8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8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8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8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8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8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8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8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8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8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8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8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8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8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8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8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8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8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8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8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8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8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8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8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8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8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8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8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8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8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8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8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8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8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8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8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8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8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8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8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8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8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8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8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8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8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8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8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8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8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8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8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8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8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8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8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 x14ac:dyDescent="0.35"/>
    <row r="802" ht="12.75" customHeight="1" x14ac:dyDescent="0.35"/>
    <row r="803" ht="12.75" customHeight="1" x14ac:dyDescent="0.35"/>
    <row r="804" ht="12.75" customHeight="1" x14ac:dyDescent="0.35"/>
    <row r="805" ht="12.75" customHeight="1" x14ac:dyDescent="0.35"/>
    <row r="806" ht="12.75" customHeight="1" x14ac:dyDescent="0.35"/>
    <row r="807" ht="12.75" customHeight="1" x14ac:dyDescent="0.35"/>
    <row r="808" ht="12.75" customHeight="1" x14ac:dyDescent="0.35"/>
    <row r="809" ht="12.75" customHeight="1" x14ac:dyDescent="0.35"/>
    <row r="810" ht="12.75" customHeight="1" x14ac:dyDescent="0.35"/>
    <row r="811" ht="12.75" customHeight="1" x14ac:dyDescent="0.35"/>
    <row r="812" ht="12.75" customHeight="1" x14ac:dyDescent="0.35"/>
    <row r="813" ht="12.75" customHeight="1" x14ac:dyDescent="0.35"/>
    <row r="814" ht="12.75" customHeight="1" x14ac:dyDescent="0.35"/>
    <row r="815" ht="12.75" customHeight="1" x14ac:dyDescent="0.35"/>
    <row r="816" ht="12.75" customHeight="1" x14ac:dyDescent="0.35"/>
    <row r="817" ht="12.75" customHeight="1" x14ac:dyDescent="0.35"/>
    <row r="818" ht="12.75" customHeight="1" x14ac:dyDescent="0.35"/>
    <row r="819" ht="12.75" customHeight="1" x14ac:dyDescent="0.35"/>
    <row r="820" ht="12.75" customHeight="1" x14ac:dyDescent="0.35"/>
    <row r="821" ht="12.75" customHeight="1" x14ac:dyDescent="0.35"/>
    <row r="822" ht="12.75" customHeight="1" x14ac:dyDescent="0.35"/>
    <row r="823" ht="12.75" customHeight="1" x14ac:dyDescent="0.35"/>
    <row r="824" ht="12.75" customHeight="1" x14ac:dyDescent="0.35"/>
    <row r="825" ht="12.75" customHeight="1" x14ac:dyDescent="0.35"/>
    <row r="826" ht="12.75" customHeight="1" x14ac:dyDescent="0.35"/>
    <row r="827" ht="12.75" customHeight="1" x14ac:dyDescent="0.35"/>
    <row r="828" ht="12.75" customHeight="1" x14ac:dyDescent="0.35"/>
    <row r="829" ht="12.75" customHeight="1" x14ac:dyDescent="0.35"/>
    <row r="830" ht="12.75" customHeight="1" x14ac:dyDescent="0.35"/>
    <row r="831" ht="12.75" customHeight="1" x14ac:dyDescent="0.35"/>
    <row r="832" ht="12.75" customHeight="1" x14ac:dyDescent="0.35"/>
    <row r="833" ht="12.75" customHeight="1" x14ac:dyDescent="0.35"/>
    <row r="834" ht="12.75" customHeight="1" x14ac:dyDescent="0.35"/>
    <row r="835" ht="12.75" customHeight="1" x14ac:dyDescent="0.35"/>
    <row r="836" ht="12.75" customHeight="1" x14ac:dyDescent="0.35"/>
    <row r="837" ht="12.75" customHeight="1" x14ac:dyDescent="0.35"/>
    <row r="838" ht="12.75" customHeight="1" x14ac:dyDescent="0.35"/>
    <row r="839" ht="12.75" customHeight="1" x14ac:dyDescent="0.35"/>
    <row r="840" ht="12.75" customHeight="1" x14ac:dyDescent="0.35"/>
    <row r="841" ht="12.75" customHeight="1" x14ac:dyDescent="0.35"/>
    <row r="842" ht="12.75" customHeight="1" x14ac:dyDescent="0.35"/>
    <row r="843" ht="12.75" customHeight="1" x14ac:dyDescent="0.35"/>
    <row r="844" ht="12.75" customHeight="1" x14ac:dyDescent="0.35"/>
    <row r="845" ht="12.75" customHeight="1" x14ac:dyDescent="0.35"/>
    <row r="846" ht="12.75" customHeight="1" x14ac:dyDescent="0.35"/>
    <row r="847" ht="12.75" customHeight="1" x14ac:dyDescent="0.35"/>
    <row r="848" ht="12.75" customHeight="1" x14ac:dyDescent="0.35"/>
    <row r="849" ht="12.75" customHeight="1" x14ac:dyDescent="0.35"/>
    <row r="850" ht="12.75" customHeight="1" x14ac:dyDescent="0.35"/>
    <row r="851" ht="12.75" customHeight="1" x14ac:dyDescent="0.35"/>
    <row r="852" ht="12.75" customHeight="1" x14ac:dyDescent="0.35"/>
    <row r="853" ht="12.75" customHeight="1" x14ac:dyDescent="0.35"/>
    <row r="854" ht="12.75" customHeight="1" x14ac:dyDescent="0.35"/>
    <row r="855" ht="12.75" customHeight="1" x14ac:dyDescent="0.35"/>
    <row r="856" ht="12.75" customHeight="1" x14ac:dyDescent="0.35"/>
    <row r="857" ht="12.75" customHeight="1" x14ac:dyDescent="0.35"/>
    <row r="858" ht="12.75" customHeight="1" x14ac:dyDescent="0.35"/>
    <row r="859" ht="12.75" customHeight="1" x14ac:dyDescent="0.35"/>
    <row r="860" ht="12.75" customHeight="1" x14ac:dyDescent="0.35"/>
    <row r="861" ht="12.75" customHeight="1" x14ac:dyDescent="0.35"/>
    <row r="862" ht="12.75" customHeight="1" x14ac:dyDescent="0.35"/>
    <row r="863" ht="12.75" customHeight="1" x14ac:dyDescent="0.35"/>
    <row r="864" ht="12.75" customHeight="1" x14ac:dyDescent="0.35"/>
    <row r="865" ht="12.75" customHeight="1" x14ac:dyDescent="0.35"/>
    <row r="866" ht="12.75" customHeight="1" x14ac:dyDescent="0.35"/>
    <row r="867" ht="12.75" customHeight="1" x14ac:dyDescent="0.35"/>
    <row r="868" ht="12.75" customHeight="1" x14ac:dyDescent="0.35"/>
    <row r="869" ht="12.75" customHeight="1" x14ac:dyDescent="0.35"/>
    <row r="870" ht="12.7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qref="F9:F200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C1" zoomScaleNormal="100" workbookViewId="0">
      <pane ySplit="8" topLeftCell="A9" activePane="bottomLeft" state="frozen"/>
      <selection pane="bottomLeft" activeCell="G10" sqref="G10"/>
    </sheetView>
  </sheetViews>
  <sheetFormatPr defaultColWidth="14.453125" defaultRowHeight="14.5" x14ac:dyDescent="0.35"/>
  <cols>
    <col min="1" max="1" width="16" customWidth="1"/>
    <col min="2" max="2" width="28" customWidth="1"/>
    <col min="3" max="4" width="50" customWidth="1"/>
    <col min="5" max="5" width="22" customWidth="1"/>
    <col min="6" max="6" width="13" customWidth="1"/>
    <col min="7" max="7" width="11" customWidth="1"/>
    <col min="8" max="8" width="24" customWidth="1"/>
    <col min="9" max="9" width="9.453125" customWidth="1"/>
    <col min="10" max="10" width="7.54296875" hidden="1" customWidth="1"/>
    <col min="11" max="11" width="10.26953125" customWidth="1"/>
    <col min="12" max="26" width="9.08984375" customWidth="1"/>
  </cols>
  <sheetData>
    <row r="1" spans="1:26" ht="13.5" customHeight="1" x14ac:dyDescent="0.35">
      <c r="A1" s="63"/>
      <c r="B1" s="64"/>
      <c r="C1" s="64"/>
      <c r="D1" s="64"/>
      <c r="E1" s="64"/>
      <c r="F1" s="65"/>
      <c r="G1" s="66"/>
      <c r="H1" s="35"/>
      <c r="I1" s="6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" customHeight="1" x14ac:dyDescent="0.35">
      <c r="A2" s="69" t="s">
        <v>121</v>
      </c>
      <c r="B2" s="124" t="s">
        <v>153</v>
      </c>
      <c r="C2" s="124"/>
      <c r="D2" s="124"/>
      <c r="E2" s="124"/>
      <c r="F2" s="124"/>
      <c r="G2" s="124"/>
      <c r="H2" s="124"/>
      <c r="I2" s="67"/>
      <c r="J2" s="68" t="s">
        <v>123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25.5" customHeight="1" x14ac:dyDescent="0.35">
      <c r="A3" s="70" t="s">
        <v>124</v>
      </c>
      <c r="B3" s="124" t="s">
        <v>63</v>
      </c>
      <c r="C3" s="124"/>
      <c r="D3" s="124"/>
      <c r="E3" s="124"/>
      <c r="F3" s="124"/>
      <c r="G3" s="124"/>
      <c r="H3" s="124"/>
      <c r="I3" s="67"/>
      <c r="J3" s="68" t="s">
        <v>125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8" customHeight="1" x14ac:dyDescent="0.35">
      <c r="A4" s="69" t="s">
        <v>126</v>
      </c>
      <c r="B4" s="124" t="s">
        <v>4</v>
      </c>
      <c r="C4" s="124"/>
      <c r="D4" s="124"/>
      <c r="E4" s="124"/>
      <c r="F4" s="124"/>
      <c r="G4" s="124"/>
      <c r="H4" s="124"/>
      <c r="I4" s="67"/>
      <c r="J4" s="68" t="s">
        <v>127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 x14ac:dyDescent="0.35">
      <c r="A5" s="71" t="s">
        <v>123</v>
      </c>
      <c r="B5" s="72" t="s">
        <v>125</v>
      </c>
      <c r="C5" s="72" t="s">
        <v>128</v>
      </c>
      <c r="D5" s="72" t="s">
        <v>127</v>
      </c>
      <c r="E5" s="73" t="s">
        <v>129</v>
      </c>
      <c r="F5" s="125" t="s">
        <v>130</v>
      </c>
      <c r="G5" s="125"/>
      <c r="H5" s="125"/>
      <c r="I5" s="74"/>
      <c r="J5" s="68" t="s">
        <v>128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5" customHeight="1" x14ac:dyDescent="0.35">
      <c r="A6" s="75">
        <f>COUNTIF(F9:F996,"Passed")</f>
        <v>1</v>
      </c>
      <c r="B6" s="76">
        <f>COUNTIF(F9:F996,"Failed")</f>
        <v>0</v>
      </c>
      <c r="C6" s="76">
        <f>F6-E6-D6-B6-A6</f>
        <v>5</v>
      </c>
      <c r="D6" s="76">
        <f>COUNTIF(F$9:F$996,"Blocked")</f>
        <v>0</v>
      </c>
      <c r="E6" s="77">
        <f>COUNTIF(F$9:F$996,"Skipped")</f>
        <v>0</v>
      </c>
      <c r="F6" s="126">
        <f>COUNTA(A9:A996)</f>
        <v>6</v>
      </c>
      <c r="G6" s="126"/>
      <c r="H6" s="126"/>
      <c r="I6" s="74"/>
      <c r="J6" s="68" t="s">
        <v>129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5" customHeight="1" x14ac:dyDescent="0.35">
      <c r="A7" s="68"/>
      <c r="B7" s="68"/>
      <c r="C7" s="68"/>
      <c r="D7" s="78"/>
      <c r="E7" s="78"/>
      <c r="F7" s="78"/>
      <c r="G7" s="78"/>
      <c r="H7" s="78"/>
      <c r="I7" s="7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25.5" customHeight="1" x14ac:dyDescent="0.35">
      <c r="A8" s="79" t="s">
        <v>131</v>
      </c>
      <c r="B8" s="79" t="s">
        <v>132</v>
      </c>
      <c r="C8" s="79" t="s">
        <v>133</v>
      </c>
      <c r="D8" s="79" t="s">
        <v>134</v>
      </c>
      <c r="E8" s="80" t="s">
        <v>135</v>
      </c>
      <c r="F8" s="80" t="s">
        <v>136</v>
      </c>
      <c r="G8" s="80" t="s">
        <v>137</v>
      </c>
      <c r="H8" s="79" t="s">
        <v>49</v>
      </c>
      <c r="I8" s="81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148.5" customHeight="1" x14ac:dyDescent="0.35">
      <c r="A9" s="82" t="str">
        <f t="shared" ref="A9:A14" si="0">IF(OR(B9&lt;&gt;"",D9&lt;&gt;""),"["&amp;TEXT($B$2,"##")&amp;"-"&amp;TEXT(ROW()-8,"##")&amp;"]","")</f>
        <v>[SendEmail-1]</v>
      </c>
      <c r="B9" s="83" t="s">
        <v>65</v>
      </c>
      <c r="C9" s="83" t="s">
        <v>154</v>
      </c>
      <c r="D9" s="83" t="s">
        <v>155</v>
      </c>
      <c r="E9" s="84" t="s">
        <v>140</v>
      </c>
      <c r="F9" s="82" t="s">
        <v>123</v>
      </c>
      <c r="G9" s="85">
        <v>46324</v>
      </c>
      <c r="H9" s="86"/>
      <c r="I9" s="8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8.5" customHeight="1" x14ac:dyDescent="0.35">
      <c r="A10" s="82" t="str">
        <f t="shared" si="0"/>
        <v>[SendEmail-2]</v>
      </c>
      <c r="B10" s="83" t="s">
        <v>67</v>
      </c>
      <c r="C10" s="83" t="s">
        <v>156</v>
      </c>
      <c r="D10" s="83" t="s">
        <v>157</v>
      </c>
      <c r="E10" s="84" t="s">
        <v>140</v>
      </c>
      <c r="F10" s="82" t="s">
        <v>128</v>
      </c>
      <c r="G10" s="85"/>
      <c r="H10" s="86"/>
      <c r="I10" s="8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8.5" customHeight="1" x14ac:dyDescent="0.35">
      <c r="A11" s="82" t="str">
        <f t="shared" si="0"/>
        <v>[SendEmail-3]</v>
      </c>
      <c r="B11" s="83" t="s">
        <v>68</v>
      </c>
      <c r="C11" s="83" t="s">
        <v>158</v>
      </c>
      <c r="D11" s="83" t="s">
        <v>159</v>
      </c>
      <c r="E11" s="84" t="s">
        <v>140</v>
      </c>
      <c r="F11" s="82" t="s">
        <v>128</v>
      </c>
      <c r="G11" s="85"/>
      <c r="H11" s="86"/>
      <c r="I11" s="8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8.5" customHeight="1" x14ac:dyDescent="0.35">
      <c r="A12" s="82" t="str">
        <f t="shared" si="0"/>
        <v>[SendEmail-4]</v>
      </c>
      <c r="B12" s="83" t="s">
        <v>69</v>
      </c>
      <c r="C12" s="83" t="s">
        <v>160</v>
      </c>
      <c r="D12" s="83" t="s">
        <v>161</v>
      </c>
      <c r="E12" s="84" t="s">
        <v>140</v>
      </c>
      <c r="F12" s="82" t="s">
        <v>128</v>
      </c>
      <c r="G12" s="85"/>
      <c r="H12" s="86"/>
      <c r="I12" s="8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35.75" customHeight="1" x14ac:dyDescent="0.35">
      <c r="A13" s="82" t="str">
        <f t="shared" si="0"/>
        <v>[SendEmail-5]</v>
      </c>
      <c r="B13" s="83" t="s">
        <v>70</v>
      </c>
      <c r="C13" s="83" t="s">
        <v>162</v>
      </c>
      <c r="D13" s="83" t="s">
        <v>163</v>
      </c>
      <c r="E13" s="84" t="s">
        <v>140</v>
      </c>
      <c r="F13" s="82" t="s">
        <v>128</v>
      </c>
      <c r="G13" s="85"/>
      <c r="H13" s="86"/>
      <c r="I13" s="8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45" customHeight="1" x14ac:dyDescent="0.35">
      <c r="A14" s="82" t="str">
        <f t="shared" si="0"/>
        <v>[SendEmail-6]</v>
      </c>
      <c r="B14" s="83" t="s">
        <v>72</v>
      </c>
      <c r="C14" s="83" t="s">
        <v>164</v>
      </c>
      <c r="D14" s="83" t="s">
        <v>165</v>
      </c>
      <c r="E14" s="84" t="s">
        <v>166</v>
      </c>
      <c r="F14" s="82" t="s">
        <v>128</v>
      </c>
      <c r="G14" s="85"/>
      <c r="H14" s="86"/>
      <c r="I14" s="8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35">
      <c r="A15" s="7"/>
      <c r="B15" s="7"/>
      <c r="C15" s="7"/>
      <c r="D15" s="7"/>
      <c r="E15" s="7"/>
      <c r="F15" s="7"/>
      <c r="G15" s="7"/>
      <c r="H15" s="7"/>
      <c r="I15" s="8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35">
      <c r="A16" s="7"/>
      <c r="B16" s="7"/>
      <c r="C16" s="7"/>
      <c r="D16" s="7"/>
      <c r="E16" s="7"/>
      <c r="F16" s="7"/>
      <c r="G16" s="7"/>
      <c r="H16" s="7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35">
      <c r="A17" s="7"/>
      <c r="B17" s="7"/>
      <c r="C17" s="7"/>
      <c r="D17" s="7"/>
      <c r="E17" s="7"/>
      <c r="F17" s="7"/>
      <c r="G17" s="7"/>
      <c r="H17" s="7"/>
      <c r="I17" s="8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x14ac:dyDescent="0.35">
      <c r="A18" s="7"/>
      <c r="B18" s="7"/>
      <c r="C18" s="7"/>
      <c r="D18" s="7"/>
      <c r="E18" s="7"/>
      <c r="F18" s="7"/>
      <c r="G18" s="7"/>
      <c r="H18" s="7"/>
      <c r="I18" s="8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x14ac:dyDescent="0.35">
      <c r="A19" s="7"/>
      <c r="B19" s="7"/>
      <c r="C19" s="7"/>
      <c r="D19" s="7"/>
      <c r="E19" s="7"/>
      <c r="F19" s="7"/>
      <c r="G19" s="7"/>
      <c r="H19" s="7"/>
      <c r="I19" s="8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x14ac:dyDescent="0.35">
      <c r="A20" s="7"/>
      <c r="B20" s="7"/>
      <c r="C20" s="7"/>
      <c r="D20" s="7"/>
      <c r="E20" s="7"/>
      <c r="F20" s="7"/>
      <c r="G20" s="7"/>
      <c r="H20" s="7"/>
      <c r="I20" s="8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x14ac:dyDescent="0.35">
      <c r="A21" s="7"/>
      <c r="B21" s="7"/>
      <c r="C21" s="7"/>
      <c r="D21" s="7"/>
      <c r="E21" s="7"/>
      <c r="F21" s="7"/>
      <c r="G21" s="7"/>
      <c r="H21" s="7"/>
      <c r="I21" s="8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x14ac:dyDescent="0.35">
      <c r="A22" s="7"/>
      <c r="B22" s="7"/>
      <c r="C22" s="7"/>
      <c r="D22" s="7"/>
      <c r="E22" s="7"/>
      <c r="F22" s="7"/>
      <c r="G22" s="7"/>
      <c r="H22" s="7"/>
      <c r="I22" s="8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x14ac:dyDescent="0.35">
      <c r="A23" s="7"/>
      <c r="B23" s="7"/>
      <c r="C23" s="7"/>
      <c r="D23" s="7"/>
      <c r="E23" s="7"/>
      <c r="F23" s="7"/>
      <c r="G23" s="7"/>
      <c r="H23" s="7"/>
      <c r="I23" s="8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35">
      <c r="A24" s="7"/>
      <c r="B24" s="7"/>
      <c r="C24" s="7"/>
      <c r="D24" s="7"/>
      <c r="E24" s="7"/>
      <c r="F24" s="7"/>
      <c r="G24" s="7"/>
      <c r="H24" s="7"/>
      <c r="I24" s="8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5">
      <c r="A25" s="7"/>
      <c r="B25" s="7"/>
      <c r="C25" s="7"/>
      <c r="D25" s="7"/>
      <c r="E25" s="7"/>
      <c r="F25" s="7"/>
      <c r="G25" s="7"/>
      <c r="H25" s="7"/>
      <c r="I25" s="8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5">
      <c r="A26" s="7"/>
      <c r="B26" s="7"/>
      <c r="C26" s="7"/>
      <c r="D26" s="7"/>
      <c r="E26" s="7"/>
      <c r="F26" s="7"/>
      <c r="G26" s="7"/>
      <c r="H26" s="7"/>
      <c r="I26" s="8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5">
      <c r="A27" s="7"/>
      <c r="B27" s="7"/>
      <c r="C27" s="7"/>
      <c r="D27" s="7"/>
      <c r="E27" s="7"/>
      <c r="F27" s="7"/>
      <c r="G27" s="7"/>
      <c r="H27" s="7"/>
      <c r="I27" s="8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5">
      <c r="A28" s="7"/>
      <c r="B28" s="7"/>
      <c r="C28" s="7"/>
      <c r="D28" s="7"/>
      <c r="E28" s="7"/>
      <c r="F28" s="7"/>
      <c r="G28" s="7"/>
      <c r="H28" s="7"/>
      <c r="I28" s="8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35">
      <c r="A29" s="7"/>
      <c r="B29" s="7"/>
      <c r="C29" s="7"/>
      <c r="D29" s="7"/>
      <c r="E29" s="7"/>
      <c r="F29" s="7"/>
      <c r="G29" s="7"/>
      <c r="H29" s="7"/>
      <c r="I29" s="8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35">
      <c r="A30" s="7"/>
      <c r="B30" s="7"/>
      <c r="C30" s="7"/>
      <c r="D30" s="7"/>
      <c r="E30" s="7"/>
      <c r="F30" s="7"/>
      <c r="G30" s="7"/>
      <c r="H30" s="7"/>
      <c r="I30" s="8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35">
      <c r="A31" s="7"/>
      <c r="B31" s="7"/>
      <c r="C31" s="7"/>
      <c r="D31" s="7"/>
      <c r="E31" s="7"/>
      <c r="F31" s="7"/>
      <c r="G31" s="7"/>
      <c r="H31" s="7"/>
      <c r="I31" s="8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35">
      <c r="A32" s="7"/>
      <c r="B32" s="7"/>
      <c r="C32" s="7"/>
      <c r="D32" s="7"/>
      <c r="E32" s="7"/>
      <c r="F32" s="7"/>
      <c r="G32" s="7"/>
      <c r="H32" s="7"/>
      <c r="I32" s="8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35">
      <c r="A33" s="7"/>
      <c r="B33" s="7"/>
      <c r="C33" s="7"/>
      <c r="D33" s="7"/>
      <c r="E33" s="7"/>
      <c r="F33" s="7"/>
      <c r="G33" s="7"/>
      <c r="H33" s="7"/>
      <c r="I33" s="8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35">
      <c r="A34" s="7"/>
      <c r="B34" s="7"/>
      <c r="C34" s="7"/>
      <c r="D34" s="7"/>
      <c r="E34" s="7"/>
      <c r="F34" s="7"/>
      <c r="G34" s="7"/>
      <c r="H34" s="7"/>
      <c r="I34" s="8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35">
      <c r="A35" s="7"/>
      <c r="B35" s="7"/>
      <c r="C35" s="7"/>
      <c r="D35" s="7"/>
      <c r="E35" s="7"/>
      <c r="F35" s="7"/>
      <c r="G35" s="7"/>
      <c r="H35" s="7"/>
      <c r="I35" s="8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35">
      <c r="A36" s="7"/>
      <c r="B36" s="7"/>
      <c r="C36" s="7"/>
      <c r="D36" s="7"/>
      <c r="E36" s="7"/>
      <c r="F36" s="7"/>
      <c r="G36" s="7"/>
      <c r="H36" s="7"/>
      <c r="I36" s="8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35">
      <c r="A37" s="7"/>
      <c r="B37" s="7"/>
      <c r="C37" s="7"/>
      <c r="D37" s="7"/>
      <c r="E37" s="7"/>
      <c r="F37" s="7"/>
      <c r="G37" s="7"/>
      <c r="H37" s="7"/>
      <c r="I37" s="8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35">
      <c r="A38" s="7"/>
      <c r="B38" s="7"/>
      <c r="C38" s="7"/>
      <c r="D38" s="7"/>
      <c r="E38" s="7"/>
      <c r="F38" s="7"/>
      <c r="G38" s="7"/>
      <c r="H38" s="7"/>
      <c r="I38" s="8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35">
      <c r="A39" s="7"/>
      <c r="B39" s="7"/>
      <c r="C39" s="7"/>
      <c r="D39" s="7"/>
      <c r="E39" s="7"/>
      <c r="F39" s="7"/>
      <c r="G39" s="7"/>
      <c r="H39" s="7"/>
      <c r="I39" s="8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8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8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8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8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8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8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8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8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8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8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8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8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8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8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8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8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8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8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8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8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8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8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8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8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8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8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8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8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8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8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8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8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8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8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8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8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8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8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8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8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8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8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8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8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8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8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8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8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8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8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8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8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8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8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8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8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8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8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8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8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8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8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8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8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8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8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8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8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8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8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8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8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8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8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8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8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8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8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8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8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8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8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8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8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8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8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8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8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8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8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8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8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8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8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8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8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8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8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8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8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8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8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8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8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8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8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8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8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8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8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8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8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8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8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8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8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8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8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8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8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8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8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8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8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8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8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8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8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8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8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8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8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8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8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8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8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8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8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8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8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8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8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8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8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8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8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8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8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8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8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8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8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8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8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8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8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8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8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8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8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8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8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8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8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8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8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8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8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8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8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8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8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8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8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8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8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8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8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8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8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8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8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8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8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8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8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8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8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8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8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8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8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8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8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8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8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8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8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8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8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8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8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8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8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8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8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8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8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8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8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8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8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8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8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8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8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8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8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8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8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8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8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8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8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8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8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8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8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8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8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8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8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8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8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8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8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8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8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8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8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8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8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8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8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8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8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8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8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8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8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8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8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8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8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8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8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8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8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8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8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8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8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8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8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8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8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8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8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8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8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8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8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8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8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8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8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8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8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8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8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8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8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8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8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8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8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8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8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8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8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8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8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8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8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8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8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8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8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8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8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8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8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8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8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8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8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8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8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8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8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8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8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8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8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8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8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8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8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8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8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8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8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8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8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8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8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8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8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8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8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8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8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8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8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8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8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8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8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8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8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8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8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8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8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8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8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8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8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8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8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8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8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8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8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8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8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8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8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8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8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8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8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8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8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8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8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8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8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8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8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8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8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8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8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8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8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8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8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8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8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8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8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8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8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8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8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8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8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8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8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8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8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8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8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8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8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8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8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8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8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8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8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8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8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8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8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8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8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8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8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8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8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8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8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8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8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8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8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8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8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8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8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8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8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8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8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8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8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8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8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8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8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8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8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8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8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8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8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8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8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8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8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8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8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8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8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8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8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8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8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8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8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8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8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8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8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8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8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8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8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8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8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8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8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8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8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8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8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8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8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8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8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8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8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8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8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8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8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8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8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8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8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8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8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8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8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8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8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8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8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8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8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8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8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8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8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8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8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8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8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8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8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8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8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8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8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8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8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8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8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8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8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8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8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8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8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8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8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8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8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8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8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8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8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8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8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8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8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8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8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8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8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8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8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8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8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8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8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8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8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8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8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8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8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8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8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8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8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8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8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8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8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8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8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8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8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8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8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8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8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8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8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8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8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8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8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8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8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8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8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8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8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8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8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8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8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8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8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8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8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8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8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8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8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8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8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8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8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8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8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8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8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8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8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8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8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8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8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8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8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8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8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8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8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8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8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8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8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8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8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8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8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8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8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8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8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8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8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8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8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8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8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8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8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8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8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8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8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8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8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8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8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8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8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8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8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8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8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8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8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8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8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8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8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8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8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8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8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8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8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8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8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8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8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8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8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8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8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8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8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8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8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8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8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8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8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8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8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8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8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8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8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8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8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8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8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8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8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8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8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8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8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8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8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8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8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8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8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8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8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8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8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8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8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8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8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8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8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8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8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8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8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8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8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8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8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8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8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8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8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8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8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8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8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8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8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8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8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8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8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8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8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8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8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8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8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8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8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8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8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8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8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8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8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8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8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8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8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8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8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8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8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8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8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8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8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8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8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8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8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8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8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8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8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8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8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8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8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8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8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8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 x14ac:dyDescent="0.35"/>
    <row r="802" ht="12.75" customHeight="1" x14ac:dyDescent="0.35"/>
    <row r="803" ht="12.75" customHeight="1" x14ac:dyDescent="0.35"/>
    <row r="804" ht="12.75" customHeight="1" x14ac:dyDescent="0.35"/>
    <row r="805" ht="12.75" customHeight="1" x14ac:dyDescent="0.35"/>
    <row r="806" ht="12.75" customHeight="1" x14ac:dyDescent="0.35"/>
    <row r="807" ht="12.75" customHeight="1" x14ac:dyDescent="0.35"/>
    <row r="808" ht="12.75" customHeight="1" x14ac:dyDescent="0.35"/>
    <row r="809" ht="12.75" customHeight="1" x14ac:dyDescent="0.35"/>
    <row r="810" ht="12.75" customHeight="1" x14ac:dyDescent="0.35"/>
    <row r="811" ht="12.75" customHeight="1" x14ac:dyDescent="0.35"/>
    <row r="812" ht="12.75" customHeight="1" x14ac:dyDescent="0.35"/>
    <row r="813" ht="12.75" customHeight="1" x14ac:dyDescent="0.35"/>
    <row r="814" ht="12.75" customHeight="1" x14ac:dyDescent="0.35"/>
    <row r="815" ht="12.75" customHeight="1" x14ac:dyDescent="0.35"/>
    <row r="816" ht="12.75" customHeight="1" x14ac:dyDescent="0.35"/>
    <row r="817" ht="12.75" customHeight="1" x14ac:dyDescent="0.35"/>
    <row r="818" ht="12.75" customHeight="1" x14ac:dyDescent="0.35"/>
    <row r="819" ht="12.75" customHeight="1" x14ac:dyDescent="0.35"/>
    <row r="820" ht="12.75" customHeight="1" x14ac:dyDescent="0.35"/>
    <row r="821" ht="12.75" customHeight="1" x14ac:dyDescent="0.35"/>
    <row r="822" ht="12.75" customHeight="1" x14ac:dyDescent="0.35"/>
    <row r="823" ht="12.75" customHeight="1" x14ac:dyDescent="0.35"/>
    <row r="824" ht="12.75" customHeight="1" x14ac:dyDescent="0.35"/>
    <row r="825" ht="12.75" customHeight="1" x14ac:dyDescent="0.35"/>
    <row r="826" ht="12.75" customHeight="1" x14ac:dyDescent="0.35"/>
    <row r="827" ht="12.75" customHeight="1" x14ac:dyDescent="0.35"/>
    <row r="828" ht="12.75" customHeight="1" x14ac:dyDescent="0.35"/>
    <row r="829" ht="12.75" customHeight="1" x14ac:dyDescent="0.35"/>
    <row r="830" ht="12.75" customHeight="1" x14ac:dyDescent="0.35"/>
    <row r="831" ht="12.75" customHeight="1" x14ac:dyDescent="0.35"/>
    <row r="832" ht="12.75" customHeight="1" x14ac:dyDescent="0.35"/>
    <row r="833" ht="12.75" customHeight="1" x14ac:dyDescent="0.35"/>
    <row r="834" ht="12.75" customHeight="1" x14ac:dyDescent="0.35"/>
    <row r="835" ht="12.75" customHeight="1" x14ac:dyDescent="0.35"/>
    <row r="836" ht="12.75" customHeight="1" x14ac:dyDescent="0.35"/>
    <row r="837" ht="12.75" customHeight="1" x14ac:dyDescent="0.35"/>
    <row r="838" ht="12.75" customHeight="1" x14ac:dyDescent="0.35"/>
    <row r="839" ht="12.75" customHeight="1" x14ac:dyDescent="0.35"/>
    <row r="840" ht="12.75" customHeight="1" x14ac:dyDescent="0.35"/>
    <row r="841" ht="12.75" customHeight="1" x14ac:dyDescent="0.35"/>
    <row r="842" ht="12.75" customHeight="1" x14ac:dyDescent="0.35"/>
    <row r="843" ht="12.75" customHeight="1" x14ac:dyDescent="0.35"/>
    <row r="844" ht="12.75" customHeight="1" x14ac:dyDescent="0.35"/>
    <row r="845" ht="12.75" customHeight="1" x14ac:dyDescent="0.35"/>
    <row r="846" ht="12.75" customHeight="1" x14ac:dyDescent="0.35"/>
    <row r="847" ht="12.75" customHeight="1" x14ac:dyDescent="0.35"/>
    <row r="848" ht="12.75" customHeight="1" x14ac:dyDescent="0.35"/>
    <row r="849" ht="12.75" customHeight="1" x14ac:dyDescent="0.35"/>
    <row r="850" ht="12.75" customHeight="1" x14ac:dyDescent="0.35"/>
    <row r="851" ht="12.75" customHeight="1" x14ac:dyDescent="0.35"/>
    <row r="852" ht="12.75" customHeight="1" x14ac:dyDescent="0.35"/>
    <row r="853" ht="12.75" customHeight="1" x14ac:dyDescent="0.35"/>
    <row r="854" ht="12.75" customHeight="1" x14ac:dyDescent="0.35"/>
    <row r="855" ht="12.75" customHeight="1" x14ac:dyDescent="0.35"/>
    <row r="856" ht="12.75" customHeight="1" x14ac:dyDescent="0.35"/>
    <row r="857" ht="12.75" customHeight="1" x14ac:dyDescent="0.35"/>
    <row r="858" ht="12.75" customHeight="1" x14ac:dyDescent="0.35"/>
    <row r="859" ht="12.75" customHeight="1" x14ac:dyDescent="0.35"/>
    <row r="860" ht="12.75" customHeight="1" x14ac:dyDescent="0.35"/>
    <row r="861" ht="12.75" customHeight="1" x14ac:dyDescent="0.35"/>
    <row r="862" ht="12.75" customHeight="1" x14ac:dyDescent="0.35"/>
    <row r="863" ht="12.75" customHeight="1" x14ac:dyDescent="0.35"/>
    <row r="864" ht="12.75" customHeight="1" x14ac:dyDescent="0.35"/>
    <row r="865" ht="12.75" customHeight="1" x14ac:dyDescent="0.35"/>
    <row r="866" ht="12.75" customHeight="1" x14ac:dyDescent="0.35"/>
    <row r="867" ht="12.75" customHeight="1" x14ac:dyDescent="0.35"/>
    <row r="868" ht="12.75" customHeight="1" x14ac:dyDescent="0.35"/>
    <row r="869" ht="12.75" customHeight="1" x14ac:dyDescent="0.35"/>
    <row r="870" ht="12.7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qref="F9:F200" xr:uid="{00000000-0002-0000-04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C1" zoomScaleNormal="100" workbookViewId="0">
      <pane ySplit="8" topLeftCell="A16" activePane="bottomLeft" state="frozen"/>
      <selection pane="bottomLeft" activeCell="F17" sqref="F17:G17"/>
    </sheetView>
  </sheetViews>
  <sheetFormatPr defaultColWidth="14.453125" defaultRowHeight="14.5" x14ac:dyDescent="0.35"/>
  <cols>
    <col min="1" max="1" width="16" customWidth="1"/>
    <col min="2" max="2" width="28" customWidth="1"/>
    <col min="3" max="4" width="50" customWidth="1"/>
    <col min="5" max="5" width="22" customWidth="1"/>
    <col min="6" max="6" width="13" customWidth="1"/>
    <col min="7" max="7" width="11" customWidth="1"/>
    <col min="8" max="8" width="24" customWidth="1"/>
    <col min="9" max="9" width="9.453125" customWidth="1"/>
    <col min="10" max="10" width="7.54296875" hidden="1" customWidth="1"/>
    <col min="11" max="11" width="10.26953125" customWidth="1"/>
    <col min="12" max="26" width="9.08984375" customWidth="1"/>
  </cols>
  <sheetData>
    <row r="1" spans="1:26" ht="13.5" customHeight="1" x14ac:dyDescent="0.35">
      <c r="A1" s="63"/>
      <c r="B1" s="64"/>
      <c r="C1" s="64"/>
      <c r="D1" s="64"/>
      <c r="E1" s="64"/>
      <c r="F1" s="65"/>
      <c r="G1" s="66"/>
      <c r="H1" s="35"/>
      <c r="I1" s="6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" customHeight="1" x14ac:dyDescent="0.35">
      <c r="A2" s="69" t="s">
        <v>121</v>
      </c>
      <c r="B2" s="124" t="s">
        <v>167</v>
      </c>
      <c r="C2" s="124"/>
      <c r="D2" s="124"/>
      <c r="E2" s="124"/>
      <c r="F2" s="124"/>
      <c r="G2" s="124"/>
      <c r="H2" s="124"/>
      <c r="I2" s="67"/>
      <c r="J2" s="68" t="s">
        <v>123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25.5" customHeight="1" x14ac:dyDescent="0.35">
      <c r="A3" s="70" t="s">
        <v>124</v>
      </c>
      <c r="B3" s="124" t="s">
        <v>73</v>
      </c>
      <c r="C3" s="124"/>
      <c r="D3" s="124"/>
      <c r="E3" s="124"/>
      <c r="F3" s="124"/>
      <c r="G3" s="124"/>
      <c r="H3" s="124"/>
      <c r="I3" s="67"/>
      <c r="J3" s="68" t="s">
        <v>125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8" customHeight="1" x14ac:dyDescent="0.35">
      <c r="A4" s="69" t="s">
        <v>126</v>
      </c>
      <c r="B4" s="124" t="s">
        <v>4</v>
      </c>
      <c r="C4" s="124"/>
      <c r="D4" s="124"/>
      <c r="E4" s="124"/>
      <c r="F4" s="124"/>
      <c r="G4" s="124"/>
      <c r="H4" s="124"/>
      <c r="I4" s="67"/>
      <c r="J4" s="68" t="s">
        <v>127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 x14ac:dyDescent="0.35">
      <c r="A5" s="71" t="s">
        <v>123</v>
      </c>
      <c r="B5" s="72" t="s">
        <v>125</v>
      </c>
      <c r="C5" s="72" t="s">
        <v>128</v>
      </c>
      <c r="D5" s="72" t="s">
        <v>127</v>
      </c>
      <c r="E5" s="73" t="s">
        <v>129</v>
      </c>
      <c r="F5" s="125" t="s">
        <v>130</v>
      </c>
      <c r="G5" s="125"/>
      <c r="H5" s="125"/>
      <c r="I5" s="74"/>
      <c r="J5" s="68" t="s">
        <v>128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5" customHeight="1" x14ac:dyDescent="0.35">
      <c r="A6" s="75">
        <f>COUNTIF(F9:F996,"Passed")</f>
        <v>3</v>
      </c>
      <c r="B6" s="76">
        <f>COUNTIF(F9:F996,"Failed")</f>
        <v>0</v>
      </c>
      <c r="C6" s="76">
        <f>F6-E6-D6-B6-A6</f>
        <v>7</v>
      </c>
      <c r="D6" s="76">
        <f>COUNTIF(F$9:F$996,"Blocked")</f>
        <v>0</v>
      </c>
      <c r="E6" s="77">
        <f>COUNTIF(F$9:F$996,"Skipped")</f>
        <v>0</v>
      </c>
      <c r="F6" s="126">
        <f>COUNTA(A9:A996)</f>
        <v>10</v>
      </c>
      <c r="G6" s="126"/>
      <c r="H6" s="126"/>
      <c r="I6" s="74"/>
      <c r="J6" s="68" t="s">
        <v>129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5" customHeight="1" x14ac:dyDescent="0.35">
      <c r="A7" s="68"/>
      <c r="B7" s="68"/>
      <c r="C7" s="68"/>
      <c r="D7" s="78"/>
      <c r="E7" s="78"/>
      <c r="F7" s="78"/>
      <c r="G7" s="78"/>
      <c r="H7" s="78"/>
      <c r="I7" s="7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25.5" customHeight="1" x14ac:dyDescent="0.35">
      <c r="A8" s="79" t="s">
        <v>131</v>
      </c>
      <c r="B8" s="79" t="s">
        <v>132</v>
      </c>
      <c r="C8" s="79" t="s">
        <v>133</v>
      </c>
      <c r="D8" s="79" t="s">
        <v>134</v>
      </c>
      <c r="E8" s="80" t="s">
        <v>135</v>
      </c>
      <c r="F8" s="80" t="s">
        <v>136</v>
      </c>
      <c r="G8" s="80" t="s">
        <v>137</v>
      </c>
      <c r="H8" s="79" t="s">
        <v>49</v>
      </c>
      <c r="I8" s="81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123" customHeight="1" x14ac:dyDescent="0.35">
      <c r="A9" s="82" t="str">
        <f t="shared" ref="A9:A18" si="0">IF(OR(B9&lt;&gt;"",D9&lt;&gt;""),"["&amp;TEXT($B$2,"##")&amp;"-"&amp;TEXT(ROW()-8,"##")&amp;"]","")</f>
        <v>[SendNegative-1]</v>
      </c>
      <c r="B9" s="83" t="s">
        <v>75</v>
      </c>
      <c r="C9" s="83" t="s">
        <v>168</v>
      </c>
      <c r="D9" s="83" t="s">
        <v>169</v>
      </c>
      <c r="E9" s="84" t="s">
        <v>140</v>
      </c>
      <c r="F9" s="82" t="s">
        <v>128</v>
      </c>
      <c r="G9" s="85"/>
      <c r="H9" s="86" t="s">
        <v>76</v>
      </c>
      <c r="I9" s="8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5.75" customHeight="1" x14ac:dyDescent="0.35">
      <c r="A10" s="82" t="str">
        <f t="shared" si="0"/>
        <v>[SendNegative-2]</v>
      </c>
      <c r="B10" s="83" t="s">
        <v>77</v>
      </c>
      <c r="C10" s="83" t="s">
        <v>170</v>
      </c>
      <c r="D10" s="83" t="s">
        <v>171</v>
      </c>
      <c r="E10" s="84" t="s">
        <v>140</v>
      </c>
      <c r="F10" s="82" t="s">
        <v>123</v>
      </c>
      <c r="G10" s="85">
        <v>46324</v>
      </c>
      <c r="H10" s="86" t="s">
        <v>76</v>
      </c>
      <c r="I10" s="8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35.75" customHeight="1" x14ac:dyDescent="0.35">
      <c r="A11" s="82" t="str">
        <f t="shared" si="0"/>
        <v>[SendNegative-3]</v>
      </c>
      <c r="B11" s="83" t="s">
        <v>78</v>
      </c>
      <c r="C11" s="83" t="s">
        <v>172</v>
      </c>
      <c r="D11" s="83" t="s">
        <v>173</v>
      </c>
      <c r="E11" s="84" t="s">
        <v>140</v>
      </c>
      <c r="F11" s="82" t="s">
        <v>128</v>
      </c>
      <c r="G11" s="85"/>
      <c r="H11" s="86"/>
      <c r="I11" s="8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8.5" customHeight="1" x14ac:dyDescent="0.35">
      <c r="A12" s="82" t="str">
        <f t="shared" si="0"/>
        <v>[SendNegative-4]</v>
      </c>
      <c r="B12" s="83" t="s">
        <v>79</v>
      </c>
      <c r="C12" s="83" t="s">
        <v>174</v>
      </c>
      <c r="D12" s="83" t="s">
        <v>175</v>
      </c>
      <c r="E12" s="84" t="s">
        <v>140</v>
      </c>
      <c r="F12" s="82" t="s">
        <v>128</v>
      </c>
      <c r="G12" s="85"/>
      <c r="H12" s="86"/>
      <c r="I12" s="8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8.5" customHeight="1" x14ac:dyDescent="0.35">
      <c r="A13" s="82" t="str">
        <f t="shared" si="0"/>
        <v>[SendNegative-5]</v>
      </c>
      <c r="B13" s="83" t="s">
        <v>80</v>
      </c>
      <c r="C13" s="83" t="s">
        <v>176</v>
      </c>
      <c r="D13" s="83" t="s">
        <v>177</v>
      </c>
      <c r="E13" s="84" t="s">
        <v>140</v>
      </c>
      <c r="F13" s="82" t="s">
        <v>128</v>
      </c>
      <c r="G13" s="85"/>
      <c r="H13" s="86"/>
      <c r="I13" s="8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35.75" customHeight="1" x14ac:dyDescent="0.35">
      <c r="A14" s="82" t="str">
        <f t="shared" si="0"/>
        <v>[SendNegative-6]</v>
      </c>
      <c r="B14" s="83" t="s">
        <v>81</v>
      </c>
      <c r="C14" s="83" t="s">
        <v>178</v>
      </c>
      <c r="D14" s="83" t="s">
        <v>179</v>
      </c>
      <c r="E14" s="84" t="s">
        <v>140</v>
      </c>
      <c r="F14" s="82" t="s">
        <v>128</v>
      </c>
      <c r="G14" s="85"/>
      <c r="H14" s="86"/>
      <c r="I14" s="8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3" customHeight="1" x14ac:dyDescent="0.35">
      <c r="A15" s="82" t="str">
        <f t="shared" si="0"/>
        <v>[SendNegative-7]</v>
      </c>
      <c r="B15" s="83" t="s">
        <v>83</v>
      </c>
      <c r="C15" s="83" t="s">
        <v>180</v>
      </c>
      <c r="D15" s="83" t="s">
        <v>181</v>
      </c>
      <c r="E15" s="84" t="s">
        <v>140</v>
      </c>
      <c r="F15" s="82" t="s">
        <v>123</v>
      </c>
      <c r="G15" s="85">
        <v>46324</v>
      </c>
      <c r="H15" s="86" t="s">
        <v>84</v>
      </c>
      <c r="I15" s="8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57.75" customHeight="1" x14ac:dyDescent="0.35">
      <c r="A16" s="82" t="str">
        <f t="shared" si="0"/>
        <v>[SendNegative-8]</v>
      </c>
      <c r="B16" s="83" t="s">
        <v>85</v>
      </c>
      <c r="C16" s="83" t="s">
        <v>182</v>
      </c>
      <c r="D16" s="83" t="s">
        <v>183</v>
      </c>
      <c r="E16" s="84" t="s">
        <v>184</v>
      </c>
      <c r="F16" s="82" t="s">
        <v>128</v>
      </c>
      <c r="G16" s="85"/>
      <c r="H16" s="86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45" customHeight="1" x14ac:dyDescent="0.35">
      <c r="A17" s="82" t="str">
        <f t="shared" si="0"/>
        <v>[SendNegative-9]</v>
      </c>
      <c r="B17" s="83" t="s">
        <v>86</v>
      </c>
      <c r="C17" s="83" t="s">
        <v>185</v>
      </c>
      <c r="D17" s="83" t="s">
        <v>186</v>
      </c>
      <c r="E17" s="84" t="s">
        <v>184</v>
      </c>
      <c r="F17" s="82" t="s">
        <v>123</v>
      </c>
      <c r="G17" s="85">
        <v>46324</v>
      </c>
      <c r="H17" s="86"/>
      <c r="I17" s="8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3" customHeight="1" x14ac:dyDescent="0.35">
      <c r="A18" s="82" t="str">
        <f t="shared" si="0"/>
        <v>[SendNegative-10]</v>
      </c>
      <c r="B18" s="83" t="s">
        <v>87</v>
      </c>
      <c r="C18" s="83" t="s">
        <v>187</v>
      </c>
      <c r="D18" s="83" t="s">
        <v>188</v>
      </c>
      <c r="E18" s="84" t="s">
        <v>140</v>
      </c>
      <c r="F18" s="82" t="s">
        <v>128</v>
      </c>
      <c r="G18" s="85"/>
      <c r="H18" s="86" t="s">
        <v>84</v>
      </c>
      <c r="I18" s="8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x14ac:dyDescent="0.35">
      <c r="A19" s="7"/>
      <c r="B19" s="7"/>
      <c r="C19" s="7"/>
      <c r="D19" s="7"/>
      <c r="E19" s="7"/>
      <c r="F19" s="7"/>
      <c r="G19" s="7"/>
      <c r="H19" s="7"/>
      <c r="I19" s="8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x14ac:dyDescent="0.35">
      <c r="A20" s="7"/>
      <c r="B20" s="7"/>
      <c r="C20" s="7"/>
      <c r="D20" s="7"/>
      <c r="E20" s="7"/>
      <c r="F20" s="7"/>
      <c r="G20" s="7"/>
      <c r="H20" s="7"/>
      <c r="I20" s="8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x14ac:dyDescent="0.35">
      <c r="A21" s="7"/>
      <c r="B21" s="7"/>
      <c r="C21" s="7"/>
      <c r="D21" s="7"/>
      <c r="E21" s="7"/>
      <c r="F21" s="7"/>
      <c r="G21" s="7"/>
      <c r="H21" s="7"/>
      <c r="I21" s="8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x14ac:dyDescent="0.35">
      <c r="A22" s="7"/>
      <c r="B22" s="7"/>
      <c r="C22" s="7"/>
      <c r="D22" s="7"/>
      <c r="E22" s="7"/>
      <c r="F22" s="7"/>
      <c r="G22" s="7"/>
      <c r="H22" s="7"/>
      <c r="I22" s="8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x14ac:dyDescent="0.35">
      <c r="A23" s="7"/>
      <c r="B23" s="7"/>
      <c r="C23" s="7"/>
      <c r="D23" s="7"/>
      <c r="E23" s="7"/>
      <c r="F23" s="7"/>
      <c r="G23" s="7"/>
      <c r="H23" s="7"/>
      <c r="I23" s="8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35">
      <c r="A24" s="7"/>
      <c r="B24" s="7"/>
      <c r="C24" s="7"/>
      <c r="D24" s="7"/>
      <c r="E24" s="7"/>
      <c r="F24" s="7"/>
      <c r="G24" s="7"/>
      <c r="H24" s="7"/>
      <c r="I24" s="8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5">
      <c r="A25" s="7"/>
      <c r="B25" s="7"/>
      <c r="C25" s="7"/>
      <c r="D25" s="7"/>
      <c r="E25" s="7"/>
      <c r="F25" s="7"/>
      <c r="G25" s="7"/>
      <c r="H25" s="7"/>
      <c r="I25" s="8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5">
      <c r="A26" s="7"/>
      <c r="B26" s="7"/>
      <c r="C26" s="7"/>
      <c r="D26" s="7"/>
      <c r="E26" s="7"/>
      <c r="F26" s="7"/>
      <c r="G26" s="7"/>
      <c r="H26" s="7"/>
      <c r="I26" s="8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5">
      <c r="A27" s="7"/>
      <c r="B27" s="7"/>
      <c r="C27" s="7"/>
      <c r="D27" s="7"/>
      <c r="E27" s="7"/>
      <c r="F27" s="7"/>
      <c r="G27" s="7"/>
      <c r="H27" s="7"/>
      <c r="I27" s="8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5">
      <c r="A28" s="7"/>
      <c r="B28" s="7"/>
      <c r="C28" s="7"/>
      <c r="D28" s="7"/>
      <c r="E28" s="7"/>
      <c r="F28" s="7"/>
      <c r="G28" s="7"/>
      <c r="H28" s="7"/>
      <c r="I28" s="8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35">
      <c r="A29" s="7"/>
      <c r="B29" s="7"/>
      <c r="C29" s="7"/>
      <c r="D29" s="7"/>
      <c r="E29" s="7"/>
      <c r="F29" s="7"/>
      <c r="G29" s="7"/>
      <c r="H29" s="7"/>
      <c r="I29" s="8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35">
      <c r="A30" s="7"/>
      <c r="B30" s="7"/>
      <c r="C30" s="7"/>
      <c r="D30" s="7"/>
      <c r="E30" s="7"/>
      <c r="F30" s="7"/>
      <c r="G30" s="7"/>
      <c r="H30" s="7"/>
      <c r="I30" s="8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35">
      <c r="A31" s="7"/>
      <c r="B31" s="7"/>
      <c r="C31" s="7"/>
      <c r="D31" s="7"/>
      <c r="E31" s="7"/>
      <c r="F31" s="7"/>
      <c r="G31" s="7"/>
      <c r="H31" s="7"/>
      <c r="I31" s="8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35">
      <c r="A32" s="7"/>
      <c r="B32" s="7"/>
      <c r="C32" s="7"/>
      <c r="D32" s="7"/>
      <c r="E32" s="7"/>
      <c r="F32" s="7"/>
      <c r="G32" s="7"/>
      <c r="H32" s="7"/>
      <c r="I32" s="8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35">
      <c r="A33" s="7"/>
      <c r="B33" s="7"/>
      <c r="C33" s="7"/>
      <c r="D33" s="7"/>
      <c r="E33" s="7"/>
      <c r="F33" s="7"/>
      <c r="G33" s="7"/>
      <c r="H33" s="7"/>
      <c r="I33" s="8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35">
      <c r="A34" s="7"/>
      <c r="B34" s="7"/>
      <c r="C34" s="7"/>
      <c r="D34" s="7"/>
      <c r="E34" s="7"/>
      <c r="F34" s="7"/>
      <c r="G34" s="7"/>
      <c r="H34" s="7"/>
      <c r="I34" s="8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35">
      <c r="A35" s="7"/>
      <c r="B35" s="7"/>
      <c r="C35" s="7"/>
      <c r="D35" s="7"/>
      <c r="E35" s="7"/>
      <c r="F35" s="7"/>
      <c r="G35" s="7"/>
      <c r="H35" s="7"/>
      <c r="I35" s="8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35">
      <c r="A36" s="7"/>
      <c r="B36" s="7"/>
      <c r="C36" s="7"/>
      <c r="D36" s="7"/>
      <c r="E36" s="7"/>
      <c r="F36" s="7"/>
      <c r="G36" s="7"/>
      <c r="H36" s="7"/>
      <c r="I36" s="8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35">
      <c r="A37" s="7"/>
      <c r="B37" s="7"/>
      <c r="C37" s="7"/>
      <c r="D37" s="7"/>
      <c r="E37" s="7"/>
      <c r="F37" s="7"/>
      <c r="G37" s="7"/>
      <c r="H37" s="7"/>
      <c r="I37" s="8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35">
      <c r="A38" s="7"/>
      <c r="B38" s="7"/>
      <c r="C38" s="7"/>
      <c r="D38" s="7"/>
      <c r="E38" s="7"/>
      <c r="F38" s="7"/>
      <c r="G38" s="7"/>
      <c r="H38" s="7"/>
      <c r="I38" s="8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35">
      <c r="A39" s="7"/>
      <c r="B39" s="7"/>
      <c r="C39" s="7"/>
      <c r="D39" s="7"/>
      <c r="E39" s="7"/>
      <c r="F39" s="7"/>
      <c r="G39" s="7"/>
      <c r="H39" s="7"/>
      <c r="I39" s="8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8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8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8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8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8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8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8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8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8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8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8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8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8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8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8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8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8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8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8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8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8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8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8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8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8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8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8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8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8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8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8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8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8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8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8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8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8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8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8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8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8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8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8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8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8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8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8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8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8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8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8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8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8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8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8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8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8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8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8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8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8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8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8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8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8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8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8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8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8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8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8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8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8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8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8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8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8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8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8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8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8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8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8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8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8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8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8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8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8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8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8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8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8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8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8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8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8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8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8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8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8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8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8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8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8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8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8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8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8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8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8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8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8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8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8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8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8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8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8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8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8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8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8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8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8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8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8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8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8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8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8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8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8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8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8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8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8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8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8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8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8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8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8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8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8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8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8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8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8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8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8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8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8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8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8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8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8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8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8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8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8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8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8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8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8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8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8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8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8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8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8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8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8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8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8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8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8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8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8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8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8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8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8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8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8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8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8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8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8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8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8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8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8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8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8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8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8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8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8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8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8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8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8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8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8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8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8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8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8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8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8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8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8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8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8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8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8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8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8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8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8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8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8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8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8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8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8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8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8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8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8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8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8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8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8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8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8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8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8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8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8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8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8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8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8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8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8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8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8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8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8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8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8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8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8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8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8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8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8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8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8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8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8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8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8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8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8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8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8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8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8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8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8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8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8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8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8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8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8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8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8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8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8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8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8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8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8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8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8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8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8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8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8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8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8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8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8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8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8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8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8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8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8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8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8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8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8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8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8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8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8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8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8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8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8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8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8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8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8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8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8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8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8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8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8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8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8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8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8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8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8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8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8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8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8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8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8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8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8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8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8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8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8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8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8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8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8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8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8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8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8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8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8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8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8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8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8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8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8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8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8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8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8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8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8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8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8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8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8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8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8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8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8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8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8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8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8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8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8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8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8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8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8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8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8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8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8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8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8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8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8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8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8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8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8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8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8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8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8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8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8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8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8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8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8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8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8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8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8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8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8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8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8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8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8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8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8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8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8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8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8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8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8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8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8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8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8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8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8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8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8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8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8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8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8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8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8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8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8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8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8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8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8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8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8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8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8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8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8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8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8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8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8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8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8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8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8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8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8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8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8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8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8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8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8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8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8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8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8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8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8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8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8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8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8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8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8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8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8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8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8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8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8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8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8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8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8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8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8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8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8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8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8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8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8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8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8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8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8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8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8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8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8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8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8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8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8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8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8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8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8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8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8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8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8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8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8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8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8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8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8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8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8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8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8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8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8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8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8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8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8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8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8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8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8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8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8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8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8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8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8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8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8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8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8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8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8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8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8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8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8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8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8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8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8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8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8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8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8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8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8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8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8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8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8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8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8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8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8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8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8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8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8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8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8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8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8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8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8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8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8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8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8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8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8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8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8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8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8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8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8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8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8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8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8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8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8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8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8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8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8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8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8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8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8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8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8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8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8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8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8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8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8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8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8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8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8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8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8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8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8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8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8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8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8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8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8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8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8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8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8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8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8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8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8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8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8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8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8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8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8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8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8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8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8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8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8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8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8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8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8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8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8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8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8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8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8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8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8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8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8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8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8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8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8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8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8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8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8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8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8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8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8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8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8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8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8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8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8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8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8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8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8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8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8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8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8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8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8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8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8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8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8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8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8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8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8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8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8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8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8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8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8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8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8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8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8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8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8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8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8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8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8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8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8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8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8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8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8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8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8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8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8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8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8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8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8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8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8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8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8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8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8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8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8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8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8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8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8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8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8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8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8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8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8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8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8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8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8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8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8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8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8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8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8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8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8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8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8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8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8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 x14ac:dyDescent="0.35"/>
    <row r="802" ht="12.75" customHeight="1" x14ac:dyDescent="0.35"/>
    <row r="803" ht="12.75" customHeight="1" x14ac:dyDescent="0.35"/>
    <row r="804" ht="12.75" customHeight="1" x14ac:dyDescent="0.35"/>
    <row r="805" ht="12.75" customHeight="1" x14ac:dyDescent="0.35"/>
    <row r="806" ht="12.75" customHeight="1" x14ac:dyDescent="0.35"/>
    <row r="807" ht="12.75" customHeight="1" x14ac:dyDescent="0.35"/>
    <row r="808" ht="12.75" customHeight="1" x14ac:dyDescent="0.35"/>
    <row r="809" ht="12.75" customHeight="1" x14ac:dyDescent="0.35"/>
    <row r="810" ht="12.75" customHeight="1" x14ac:dyDescent="0.35"/>
    <row r="811" ht="12.75" customHeight="1" x14ac:dyDescent="0.35"/>
    <row r="812" ht="12.75" customHeight="1" x14ac:dyDescent="0.35"/>
    <row r="813" ht="12.75" customHeight="1" x14ac:dyDescent="0.35"/>
    <row r="814" ht="12.75" customHeight="1" x14ac:dyDescent="0.35"/>
    <row r="815" ht="12.75" customHeight="1" x14ac:dyDescent="0.35"/>
    <row r="816" ht="12.75" customHeight="1" x14ac:dyDescent="0.35"/>
    <row r="817" ht="12.75" customHeight="1" x14ac:dyDescent="0.35"/>
    <row r="818" ht="12.75" customHeight="1" x14ac:dyDescent="0.35"/>
    <row r="819" ht="12.75" customHeight="1" x14ac:dyDescent="0.35"/>
    <row r="820" ht="12.75" customHeight="1" x14ac:dyDescent="0.35"/>
    <row r="821" ht="12.75" customHeight="1" x14ac:dyDescent="0.35"/>
    <row r="822" ht="12.75" customHeight="1" x14ac:dyDescent="0.35"/>
    <row r="823" ht="12.75" customHeight="1" x14ac:dyDescent="0.35"/>
    <row r="824" ht="12.75" customHeight="1" x14ac:dyDescent="0.35"/>
    <row r="825" ht="12.75" customHeight="1" x14ac:dyDescent="0.35"/>
    <row r="826" ht="12.75" customHeight="1" x14ac:dyDescent="0.35"/>
    <row r="827" ht="12.75" customHeight="1" x14ac:dyDescent="0.35"/>
    <row r="828" ht="12.75" customHeight="1" x14ac:dyDescent="0.35"/>
    <row r="829" ht="12.75" customHeight="1" x14ac:dyDescent="0.35"/>
    <row r="830" ht="12.75" customHeight="1" x14ac:dyDescent="0.35"/>
    <row r="831" ht="12.75" customHeight="1" x14ac:dyDescent="0.35"/>
    <row r="832" ht="12.75" customHeight="1" x14ac:dyDescent="0.35"/>
    <row r="833" ht="12.75" customHeight="1" x14ac:dyDescent="0.35"/>
    <row r="834" ht="12.75" customHeight="1" x14ac:dyDescent="0.35"/>
    <row r="835" ht="12.75" customHeight="1" x14ac:dyDescent="0.35"/>
    <row r="836" ht="12.75" customHeight="1" x14ac:dyDescent="0.35"/>
    <row r="837" ht="12.75" customHeight="1" x14ac:dyDescent="0.35"/>
    <row r="838" ht="12.75" customHeight="1" x14ac:dyDescent="0.35"/>
    <row r="839" ht="12.75" customHeight="1" x14ac:dyDescent="0.35"/>
    <row r="840" ht="12.75" customHeight="1" x14ac:dyDescent="0.35"/>
    <row r="841" ht="12.75" customHeight="1" x14ac:dyDescent="0.35"/>
    <row r="842" ht="12.75" customHeight="1" x14ac:dyDescent="0.35"/>
    <row r="843" ht="12.75" customHeight="1" x14ac:dyDescent="0.35"/>
    <row r="844" ht="12.75" customHeight="1" x14ac:dyDescent="0.35"/>
    <row r="845" ht="12.75" customHeight="1" x14ac:dyDescent="0.35"/>
    <row r="846" ht="12.75" customHeight="1" x14ac:dyDescent="0.35"/>
    <row r="847" ht="12.75" customHeight="1" x14ac:dyDescent="0.35"/>
    <row r="848" ht="12.75" customHeight="1" x14ac:dyDescent="0.35"/>
    <row r="849" ht="12.75" customHeight="1" x14ac:dyDescent="0.35"/>
    <row r="850" ht="12.75" customHeight="1" x14ac:dyDescent="0.35"/>
    <row r="851" ht="12.75" customHeight="1" x14ac:dyDescent="0.35"/>
    <row r="852" ht="12.75" customHeight="1" x14ac:dyDescent="0.35"/>
    <row r="853" ht="12.75" customHeight="1" x14ac:dyDescent="0.35"/>
    <row r="854" ht="12.75" customHeight="1" x14ac:dyDescent="0.35"/>
    <row r="855" ht="12.75" customHeight="1" x14ac:dyDescent="0.35"/>
    <row r="856" ht="12.75" customHeight="1" x14ac:dyDescent="0.35"/>
    <row r="857" ht="12.75" customHeight="1" x14ac:dyDescent="0.35"/>
    <row r="858" ht="12.75" customHeight="1" x14ac:dyDescent="0.35"/>
    <row r="859" ht="12.75" customHeight="1" x14ac:dyDescent="0.35"/>
    <row r="860" ht="12.75" customHeight="1" x14ac:dyDescent="0.35"/>
    <row r="861" ht="12.75" customHeight="1" x14ac:dyDescent="0.35"/>
    <row r="862" ht="12.75" customHeight="1" x14ac:dyDescent="0.35"/>
    <row r="863" ht="12.75" customHeight="1" x14ac:dyDescent="0.35"/>
    <row r="864" ht="12.75" customHeight="1" x14ac:dyDescent="0.35"/>
    <row r="865" ht="12.75" customHeight="1" x14ac:dyDescent="0.35"/>
    <row r="866" ht="12.75" customHeight="1" x14ac:dyDescent="0.35"/>
    <row r="867" ht="12.75" customHeight="1" x14ac:dyDescent="0.35"/>
    <row r="868" ht="12.75" customHeight="1" x14ac:dyDescent="0.35"/>
    <row r="869" ht="12.75" customHeight="1" x14ac:dyDescent="0.35"/>
    <row r="870" ht="12.7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qref="F9:F200" xr:uid="{00000000-0002-0000-05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Normal="100" workbookViewId="0">
      <pane ySplit="8" topLeftCell="A27" activePane="bottomLeft" state="frozen"/>
      <selection pane="bottomLeft"/>
    </sheetView>
  </sheetViews>
  <sheetFormatPr defaultColWidth="14.453125" defaultRowHeight="14.5" x14ac:dyDescent="0.35"/>
  <cols>
    <col min="1" max="1" width="16" customWidth="1"/>
    <col min="2" max="2" width="28" customWidth="1"/>
    <col min="3" max="4" width="50" customWidth="1"/>
    <col min="5" max="5" width="22" customWidth="1"/>
    <col min="6" max="6" width="13" customWidth="1"/>
    <col min="7" max="7" width="11" customWidth="1"/>
    <col min="8" max="8" width="24" customWidth="1"/>
    <col min="9" max="9" width="9.453125" customWidth="1"/>
    <col min="10" max="10" width="7.54296875" hidden="1" customWidth="1"/>
    <col min="11" max="11" width="10.26953125" customWidth="1"/>
    <col min="12" max="26" width="9.08984375" customWidth="1"/>
  </cols>
  <sheetData>
    <row r="1" spans="1:26" ht="13.5" customHeight="1" x14ac:dyDescent="0.35">
      <c r="A1" s="63"/>
      <c r="B1" s="64"/>
      <c r="C1" s="64"/>
      <c r="D1" s="64"/>
      <c r="E1" s="64"/>
      <c r="F1" s="65"/>
      <c r="G1" s="66"/>
      <c r="H1" s="35"/>
      <c r="I1" s="6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" customHeight="1" x14ac:dyDescent="0.35">
      <c r="A2" s="69" t="s">
        <v>121</v>
      </c>
      <c r="B2" s="124" t="s">
        <v>189</v>
      </c>
      <c r="C2" s="124"/>
      <c r="D2" s="124"/>
      <c r="E2" s="124"/>
      <c r="F2" s="124"/>
      <c r="G2" s="124"/>
      <c r="H2" s="124"/>
      <c r="I2" s="67"/>
      <c r="J2" s="68" t="s">
        <v>123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25.5" customHeight="1" x14ac:dyDescent="0.35">
      <c r="A3" s="70" t="s">
        <v>124</v>
      </c>
      <c r="B3" s="124" t="s">
        <v>88</v>
      </c>
      <c r="C3" s="124"/>
      <c r="D3" s="124"/>
      <c r="E3" s="124"/>
      <c r="F3" s="124"/>
      <c r="G3" s="124"/>
      <c r="H3" s="124"/>
      <c r="I3" s="67"/>
      <c r="J3" s="68" t="s">
        <v>125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8" customHeight="1" x14ac:dyDescent="0.35">
      <c r="A4" s="69" t="s">
        <v>126</v>
      </c>
      <c r="B4" s="124" t="s">
        <v>4</v>
      </c>
      <c r="C4" s="124"/>
      <c r="D4" s="124"/>
      <c r="E4" s="124"/>
      <c r="F4" s="124"/>
      <c r="G4" s="124"/>
      <c r="H4" s="124"/>
      <c r="I4" s="67"/>
      <c r="J4" s="68" t="s">
        <v>127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 x14ac:dyDescent="0.35">
      <c r="A5" s="71" t="s">
        <v>123</v>
      </c>
      <c r="B5" s="72" t="s">
        <v>125</v>
      </c>
      <c r="C5" s="72" t="s">
        <v>128</v>
      </c>
      <c r="D5" s="72" t="s">
        <v>127</v>
      </c>
      <c r="E5" s="73" t="s">
        <v>129</v>
      </c>
      <c r="F5" s="125" t="s">
        <v>130</v>
      </c>
      <c r="G5" s="125"/>
      <c r="H5" s="125"/>
      <c r="I5" s="74"/>
      <c r="J5" s="68" t="s">
        <v>128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5" customHeight="1" x14ac:dyDescent="0.35">
      <c r="A6" s="75">
        <f>COUNTIF(F9:F996,"Passed")</f>
        <v>0</v>
      </c>
      <c r="B6" s="76">
        <f>COUNTIF(F9:F996,"Failed")</f>
        <v>0</v>
      </c>
      <c r="C6" s="76">
        <f>F6-E6-D6-B6-A6</f>
        <v>16</v>
      </c>
      <c r="D6" s="76">
        <f>COUNTIF(F$9:F$996,"Blocked")</f>
        <v>0</v>
      </c>
      <c r="E6" s="77">
        <f>COUNTIF(F$9:F$996,"Skipped")</f>
        <v>0</v>
      </c>
      <c r="F6" s="126">
        <f>COUNTA(A9:A996)</f>
        <v>16</v>
      </c>
      <c r="G6" s="126"/>
      <c r="H6" s="126"/>
      <c r="I6" s="74"/>
      <c r="J6" s="68" t="s">
        <v>129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5" customHeight="1" x14ac:dyDescent="0.35">
      <c r="A7" s="68"/>
      <c r="B7" s="68"/>
      <c r="C7" s="68"/>
      <c r="D7" s="78"/>
      <c r="E7" s="78"/>
      <c r="F7" s="78"/>
      <c r="G7" s="78"/>
      <c r="H7" s="78"/>
      <c r="I7" s="7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25.5" customHeight="1" x14ac:dyDescent="0.35">
      <c r="A8" s="79" t="s">
        <v>131</v>
      </c>
      <c r="B8" s="79" t="s">
        <v>132</v>
      </c>
      <c r="C8" s="79" t="s">
        <v>133</v>
      </c>
      <c r="D8" s="79" t="s">
        <v>134</v>
      </c>
      <c r="E8" s="80" t="s">
        <v>135</v>
      </c>
      <c r="F8" s="80" t="s">
        <v>136</v>
      </c>
      <c r="G8" s="80" t="s">
        <v>137</v>
      </c>
      <c r="H8" s="79" t="s">
        <v>49</v>
      </c>
      <c r="I8" s="81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123" customHeight="1" x14ac:dyDescent="0.35">
      <c r="A9" s="82" t="str">
        <f t="shared" ref="A9:A24" si="0">IF(OR(B9&lt;&gt;"",D9&lt;&gt;""),"["&amp;TEXT($B$2,"##")&amp;"-"&amp;TEXT(ROW()-8,"##")&amp;"]","")</f>
        <v>[Attachment-1]</v>
      </c>
      <c r="B9" s="83" t="s">
        <v>90</v>
      </c>
      <c r="C9" s="83" t="s">
        <v>190</v>
      </c>
      <c r="D9" s="83" t="s">
        <v>191</v>
      </c>
      <c r="E9" s="84" t="s">
        <v>140</v>
      </c>
      <c r="F9" s="82" t="s">
        <v>128</v>
      </c>
      <c r="G9" s="85"/>
      <c r="H9" s="86" t="s">
        <v>91</v>
      </c>
      <c r="I9" s="8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3" customHeight="1" x14ac:dyDescent="0.35">
      <c r="A10" s="82" t="str">
        <f t="shared" si="0"/>
        <v>[Attachment-2]</v>
      </c>
      <c r="B10" s="83" t="s">
        <v>92</v>
      </c>
      <c r="C10" s="83" t="s">
        <v>192</v>
      </c>
      <c r="D10" s="83" t="s">
        <v>193</v>
      </c>
      <c r="E10" s="84" t="s">
        <v>140</v>
      </c>
      <c r="F10" s="82" t="s">
        <v>128</v>
      </c>
      <c r="G10" s="85"/>
      <c r="H10" s="86"/>
      <c r="I10" s="8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3" customHeight="1" x14ac:dyDescent="0.35">
      <c r="A11" s="82" t="str">
        <f t="shared" si="0"/>
        <v>[Attachment-3]</v>
      </c>
      <c r="B11" s="83" t="s">
        <v>93</v>
      </c>
      <c r="C11" s="83" t="s">
        <v>194</v>
      </c>
      <c r="D11" s="83" t="s">
        <v>195</v>
      </c>
      <c r="E11" s="84" t="s">
        <v>140</v>
      </c>
      <c r="F11" s="82" t="s">
        <v>128</v>
      </c>
      <c r="G11" s="85"/>
      <c r="H11" s="86"/>
      <c r="I11" s="8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3" customHeight="1" x14ac:dyDescent="0.35">
      <c r="A12" s="82" t="str">
        <f t="shared" si="0"/>
        <v>[Attachment-4]</v>
      </c>
      <c r="B12" s="83" t="s">
        <v>94</v>
      </c>
      <c r="C12" s="83" t="s">
        <v>196</v>
      </c>
      <c r="D12" s="83" t="s">
        <v>197</v>
      </c>
      <c r="E12" s="84" t="s">
        <v>140</v>
      </c>
      <c r="F12" s="82" t="s">
        <v>128</v>
      </c>
      <c r="G12" s="85"/>
      <c r="H12" s="86"/>
      <c r="I12" s="8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3" customHeight="1" x14ac:dyDescent="0.35">
      <c r="A13" s="82" t="str">
        <f t="shared" si="0"/>
        <v>[Attachment-5]</v>
      </c>
      <c r="B13" s="83" t="s">
        <v>95</v>
      </c>
      <c r="C13" s="83" t="s">
        <v>198</v>
      </c>
      <c r="D13" s="83" t="s">
        <v>199</v>
      </c>
      <c r="E13" s="84" t="s">
        <v>140</v>
      </c>
      <c r="F13" s="82" t="s">
        <v>128</v>
      </c>
      <c r="G13" s="85"/>
      <c r="H13" s="86"/>
      <c r="I13" s="8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3" customHeight="1" x14ac:dyDescent="0.35">
      <c r="A14" s="82" t="str">
        <f t="shared" si="0"/>
        <v>[Attachment-6]</v>
      </c>
      <c r="B14" s="83" t="s">
        <v>96</v>
      </c>
      <c r="C14" s="83" t="s">
        <v>200</v>
      </c>
      <c r="D14" s="83" t="s">
        <v>201</v>
      </c>
      <c r="E14" s="84" t="s">
        <v>140</v>
      </c>
      <c r="F14" s="82" t="s">
        <v>128</v>
      </c>
      <c r="G14" s="85"/>
      <c r="H14" s="86"/>
      <c r="I14" s="8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35.75" customHeight="1" x14ac:dyDescent="0.35">
      <c r="A15" s="82" t="str">
        <f t="shared" si="0"/>
        <v>[Attachment-7]</v>
      </c>
      <c r="B15" s="83" t="s">
        <v>97</v>
      </c>
      <c r="C15" s="83" t="s">
        <v>202</v>
      </c>
      <c r="D15" s="83" t="s">
        <v>203</v>
      </c>
      <c r="E15" s="84" t="s">
        <v>140</v>
      </c>
      <c r="F15" s="82" t="s">
        <v>128</v>
      </c>
      <c r="G15" s="85"/>
      <c r="H15" s="86"/>
      <c r="I15" s="8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35.75" customHeight="1" x14ac:dyDescent="0.35">
      <c r="A16" s="82" t="str">
        <f t="shared" si="0"/>
        <v>[Attachment-8]</v>
      </c>
      <c r="B16" s="83" t="s">
        <v>98</v>
      </c>
      <c r="C16" s="83" t="s">
        <v>204</v>
      </c>
      <c r="D16" s="83" t="s">
        <v>205</v>
      </c>
      <c r="E16" s="84" t="s">
        <v>140</v>
      </c>
      <c r="F16" s="82" t="s">
        <v>128</v>
      </c>
      <c r="G16" s="85"/>
      <c r="H16" s="86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3" customHeight="1" x14ac:dyDescent="0.35">
      <c r="A17" s="82" t="str">
        <f t="shared" si="0"/>
        <v>[Attachment-9]</v>
      </c>
      <c r="B17" s="83" t="s">
        <v>99</v>
      </c>
      <c r="C17" s="83" t="s">
        <v>206</v>
      </c>
      <c r="D17" s="83" t="s">
        <v>207</v>
      </c>
      <c r="E17" s="84" t="s">
        <v>140</v>
      </c>
      <c r="F17" s="82" t="s">
        <v>128</v>
      </c>
      <c r="G17" s="85"/>
      <c r="H17" s="86" t="s">
        <v>100</v>
      </c>
      <c r="I17" s="8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3" customHeight="1" x14ac:dyDescent="0.35">
      <c r="A18" s="82" t="str">
        <f t="shared" si="0"/>
        <v>[Attachment-10]</v>
      </c>
      <c r="B18" s="83" t="s">
        <v>102</v>
      </c>
      <c r="C18" s="83" t="s">
        <v>208</v>
      </c>
      <c r="D18" s="83" t="s">
        <v>209</v>
      </c>
      <c r="E18" s="84" t="s">
        <v>140</v>
      </c>
      <c r="F18" s="82" t="s">
        <v>128</v>
      </c>
      <c r="G18" s="85"/>
      <c r="H18" s="86"/>
      <c r="I18" s="8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3" customHeight="1" x14ac:dyDescent="0.35">
      <c r="A19" s="82" t="str">
        <f t="shared" si="0"/>
        <v>[Attachment-11]</v>
      </c>
      <c r="B19" s="83" t="s">
        <v>103</v>
      </c>
      <c r="C19" s="83" t="s">
        <v>210</v>
      </c>
      <c r="D19" s="83" t="s">
        <v>211</v>
      </c>
      <c r="E19" s="84" t="s">
        <v>140</v>
      </c>
      <c r="F19" s="82" t="s">
        <v>128</v>
      </c>
      <c r="G19" s="85"/>
      <c r="H19" s="86"/>
      <c r="I19" s="8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3" customHeight="1" x14ac:dyDescent="0.35">
      <c r="A20" s="82" t="str">
        <f t="shared" si="0"/>
        <v>[Attachment-12]</v>
      </c>
      <c r="B20" s="83" t="s">
        <v>104</v>
      </c>
      <c r="C20" s="83" t="s">
        <v>212</v>
      </c>
      <c r="D20" s="83" t="s">
        <v>213</v>
      </c>
      <c r="E20" s="84" t="s">
        <v>140</v>
      </c>
      <c r="F20" s="82" t="s">
        <v>128</v>
      </c>
      <c r="G20" s="85"/>
      <c r="H20" s="86"/>
      <c r="I20" s="8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3" customHeight="1" x14ac:dyDescent="0.35">
      <c r="A21" s="82" t="str">
        <f t="shared" si="0"/>
        <v>[Attachment-13]</v>
      </c>
      <c r="B21" s="83" t="s">
        <v>105</v>
      </c>
      <c r="C21" s="83" t="s">
        <v>214</v>
      </c>
      <c r="D21" s="83" t="s">
        <v>215</v>
      </c>
      <c r="E21" s="84" t="s">
        <v>140</v>
      </c>
      <c r="F21" s="82" t="s">
        <v>128</v>
      </c>
      <c r="G21" s="85"/>
      <c r="H21" s="86"/>
      <c r="I21" s="8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3" customHeight="1" x14ac:dyDescent="0.35">
      <c r="A22" s="82" t="str">
        <f t="shared" si="0"/>
        <v>[Attachment-14]</v>
      </c>
      <c r="B22" s="83" t="s">
        <v>106</v>
      </c>
      <c r="C22" s="83" t="s">
        <v>216</v>
      </c>
      <c r="D22" s="83" t="s">
        <v>217</v>
      </c>
      <c r="E22" s="84" t="s">
        <v>140</v>
      </c>
      <c r="F22" s="82" t="s">
        <v>128</v>
      </c>
      <c r="G22" s="85"/>
      <c r="H22" s="86"/>
      <c r="I22" s="8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3" customHeight="1" x14ac:dyDescent="0.35">
      <c r="A23" s="82" t="str">
        <f t="shared" si="0"/>
        <v>[Attachment-15]</v>
      </c>
      <c r="B23" s="83" t="s">
        <v>107</v>
      </c>
      <c r="C23" s="83" t="s">
        <v>218</v>
      </c>
      <c r="D23" s="83" t="s">
        <v>219</v>
      </c>
      <c r="E23" s="84" t="s">
        <v>140</v>
      </c>
      <c r="F23" s="82" t="s">
        <v>128</v>
      </c>
      <c r="G23" s="85"/>
      <c r="H23" s="86"/>
      <c r="I23" s="8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48.5" customHeight="1" x14ac:dyDescent="0.35">
      <c r="A24" s="82" t="str">
        <f t="shared" si="0"/>
        <v>[Attachment-16]</v>
      </c>
      <c r="B24" s="83" t="s">
        <v>108</v>
      </c>
      <c r="C24" s="83" t="s">
        <v>220</v>
      </c>
      <c r="D24" s="83" t="s">
        <v>221</v>
      </c>
      <c r="E24" s="84" t="s">
        <v>140</v>
      </c>
      <c r="F24" s="82" t="s">
        <v>128</v>
      </c>
      <c r="G24" s="85"/>
      <c r="H24" s="86"/>
      <c r="I24" s="8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5">
      <c r="A25" s="7"/>
      <c r="B25" s="7"/>
      <c r="C25" s="7"/>
      <c r="D25" s="7"/>
      <c r="E25" s="7"/>
      <c r="F25" s="7"/>
      <c r="G25" s="7"/>
      <c r="H25" s="7"/>
      <c r="I25" s="8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5">
      <c r="A26" s="7"/>
      <c r="B26" s="7"/>
      <c r="C26" s="7"/>
      <c r="D26" s="7"/>
      <c r="E26" s="7"/>
      <c r="F26" s="7"/>
      <c r="G26" s="7"/>
      <c r="H26" s="7"/>
      <c r="I26" s="8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5">
      <c r="A27" s="7"/>
      <c r="B27" s="7"/>
      <c r="C27" s="7"/>
      <c r="D27" s="7"/>
      <c r="E27" s="7"/>
      <c r="F27" s="7"/>
      <c r="G27" s="7"/>
      <c r="H27" s="7"/>
      <c r="I27" s="8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5">
      <c r="A28" s="7"/>
      <c r="B28" s="7"/>
      <c r="C28" s="7"/>
      <c r="D28" s="7"/>
      <c r="E28" s="7"/>
      <c r="F28" s="7"/>
      <c r="G28" s="7"/>
      <c r="H28" s="7"/>
      <c r="I28" s="8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35">
      <c r="A29" s="7"/>
      <c r="B29" s="7"/>
      <c r="C29" s="7"/>
      <c r="D29" s="7"/>
      <c r="E29" s="7"/>
      <c r="F29" s="7"/>
      <c r="G29" s="7"/>
      <c r="H29" s="7"/>
      <c r="I29" s="8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35">
      <c r="A30" s="7"/>
      <c r="B30" s="7"/>
      <c r="C30" s="7"/>
      <c r="D30" s="7"/>
      <c r="E30" s="7"/>
      <c r="F30" s="7"/>
      <c r="G30" s="7"/>
      <c r="H30" s="7"/>
      <c r="I30" s="8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35">
      <c r="A31" s="7"/>
      <c r="B31" s="7"/>
      <c r="C31" s="7"/>
      <c r="D31" s="7"/>
      <c r="E31" s="7"/>
      <c r="F31" s="7"/>
      <c r="G31" s="7"/>
      <c r="H31" s="7"/>
      <c r="I31" s="8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35">
      <c r="A32" s="7"/>
      <c r="B32" s="7"/>
      <c r="C32" s="7"/>
      <c r="D32" s="7"/>
      <c r="E32" s="7"/>
      <c r="F32" s="7"/>
      <c r="G32" s="7"/>
      <c r="H32" s="7"/>
      <c r="I32" s="8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35">
      <c r="A33" s="7"/>
      <c r="B33" s="7"/>
      <c r="C33" s="7"/>
      <c r="D33" s="7"/>
      <c r="E33" s="7"/>
      <c r="F33" s="7"/>
      <c r="G33" s="7"/>
      <c r="H33" s="7"/>
      <c r="I33" s="8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35">
      <c r="A34" s="7"/>
      <c r="B34" s="7"/>
      <c r="C34" s="7"/>
      <c r="D34" s="7"/>
      <c r="E34" s="7"/>
      <c r="F34" s="7"/>
      <c r="G34" s="7"/>
      <c r="H34" s="7"/>
      <c r="I34" s="8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35">
      <c r="A35" s="7"/>
      <c r="B35" s="7"/>
      <c r="C35" s="7"/>
      <c r="D35" s="7"/>
      <c r="E35" s="7"/>
      <c r="F35" s="7"/>
      <c r="G35" s="7"/>
      <c r="H35" s="7"/>
      <c r="I35" s="8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35">
      <c r="A36" s="7"/>
      <c r="B36" s="7"/>
      <c r="C36" s="7"/>
      <c r="D36" s="7"/>
      <c r="E36" s="7"/>
      <c r="F36" s="7"/>
      <c r="G36" s="7"/>
      <c r="H36" s="7"/>
      <c r="I36" s="8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35">
      <c r="A37" s="7"/>
      <c r="B37" s="7"/>
      <c r="C37" s="7"/>
      <c r="D37" s="7"/>
      <c r="E37" s="7"/>
      <c r="F37" s="7"/>
      <c r="G37" s="7"/>
      <c r="H37" s="7"/>
      <c r="I37" s="8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35">
      <c r="A38" s="7"/>
      <c r="B38" s="7"/>
      <c r="C38" s="7"/>
      <c r="D38" s="7"/>
      <c r="E38" s="7"/>
      <c r="F38" s="7"/>
      <c r="G38" s="7"/>
      <c r="H38" s="7"/>
      <c r="I38" s="8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35">
      <c r="A39" s="7"/>
      <c r="B39" s="7"/>
      <c r="C39" s="7"/>
      <c r="D39" s="7"/>
      <c r="E39" s="7"/>
      <c r="F39" s="7"/>
      <c r="G39" s="7"/>
      <c r="H39" s="7"/>
      <c r="I39" s="8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8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8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8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8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8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8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8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8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8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8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8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8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8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8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8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8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8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8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8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8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8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8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8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8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8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8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8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8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8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8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8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8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8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8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8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8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8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8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8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8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8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8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8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8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8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8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8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8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8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8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8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8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8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8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8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8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8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8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8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8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8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8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8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8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8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8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8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8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8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8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8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8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8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8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8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8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8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8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8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8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8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8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8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8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8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8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8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8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8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8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8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8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8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8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8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8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8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8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8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8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8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8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8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8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8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8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8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8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8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8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8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8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8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8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8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8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8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8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8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8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8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8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8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8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8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8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8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8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8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8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8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8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8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8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8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8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8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8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8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8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8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8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8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8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8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8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8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8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8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8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8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8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8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8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8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8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8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8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8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8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8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8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8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8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8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8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8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8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8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8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8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8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8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8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8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8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8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8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8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8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8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8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8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8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8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8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8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8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8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8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8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8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8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8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8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8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8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8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8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8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8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8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8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8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8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8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8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8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8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8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8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8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8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8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8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8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8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8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8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8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8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8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8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8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8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8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8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8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8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8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8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8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8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8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8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8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8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8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8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8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8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8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8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8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8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8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8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8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8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8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8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8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8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8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8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8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8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8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8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8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8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8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8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8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8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8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8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8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8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8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8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8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8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8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8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8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8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8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8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8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8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8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8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8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8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8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8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8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8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8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8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8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8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8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8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8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8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8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8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8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8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8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8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8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8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8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8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8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8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8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8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8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8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8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8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8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8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8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8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8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8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8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8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8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8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8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8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8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8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8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8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8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8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8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8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8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8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8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8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8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8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8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8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8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8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8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8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8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8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8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8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8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8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8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8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8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8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8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8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8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8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8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8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8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8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8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8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8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8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8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8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8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8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8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8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8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8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8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8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8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8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8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8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8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8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8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8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8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8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8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8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8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8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8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8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8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8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8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8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8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8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8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8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8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8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8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8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8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8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8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8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8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8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8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8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8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8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8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8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8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8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8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8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8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8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8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8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8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8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8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8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8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8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8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8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8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8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8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8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8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8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8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8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8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8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8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8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8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8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8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8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8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8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8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8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8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8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8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8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8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8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8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8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8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8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8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8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8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8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8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8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8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8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8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8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8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8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8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8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8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8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8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8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8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8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8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8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8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8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8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8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8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8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8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8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8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8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8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8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8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8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8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8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8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8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8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8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8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8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8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8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8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8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8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8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8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8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8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8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8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8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8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8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8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8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8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8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8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8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8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8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8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8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8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8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8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8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8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8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8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8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8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8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8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8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8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8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8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8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8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8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8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8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8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8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8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8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8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8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8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8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8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8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8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8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8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8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8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8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8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8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8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8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8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8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8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8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8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8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8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8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8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8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8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8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8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8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8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8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8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8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8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8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8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8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8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8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8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8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8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8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8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8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8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8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8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8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8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8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8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8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8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8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8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8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8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8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8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8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8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8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8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8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8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8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8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8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8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8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8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8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8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8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8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8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8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8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8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8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8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8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8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8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8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8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8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8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8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8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8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8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8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8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8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8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8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8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8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8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8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8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8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8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8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8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8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8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8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8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8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8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8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8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8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8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8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8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8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8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8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8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8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8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8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8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8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8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8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8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8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8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8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8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8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8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8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8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8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8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8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8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8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8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8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8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8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8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8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8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8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8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8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8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8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8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8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8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8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8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8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8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8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8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8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8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8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8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8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8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8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8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8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8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8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8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8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8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8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8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8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8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8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8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8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8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8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8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8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8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8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8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8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8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8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8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8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8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8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8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8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8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 x14ac:dyDescent="0.35"/>
    <row r="802" ht="12.75" customHeight="1" x14ac:dyDescent="0.35"/>
    <row r="803" ht="12.75" customHeight="1" x14ac:dyDescent="0.35"/>
    <row r="804" ht="12.75" customHeight="1" x14ac:dyDescent="0.35"/>
    <row r="805" ht="12.75" customHeight="1" x14ac:dyDescent="0.35"/>
    <row r="806" ht="12.75" customHeight="1" x14ac:dyDescent="0.35"/>
    <row r="807" ht="12.75" customHeight="1" x14ac:dyDescent="0.35"/>
    <row r="808" ht="12.75" customHeight="1" x14ac:dyDescent="0.35"/>
    <row r="809" ht="12.75" customHeight="1" x14ac:dyDescent="0.35"/>
    <row r="810" ht="12.75" customHeight="1" x14ac:dyDescent="0.35"/>
    <row r="811" ht="12.75" customHeight="1" x14ac:dyDescent="0.35"/>
    <row r="812" ht="12.75" customHeight="1" x14ac:dyDescent="0.35"/>
    <row r="813" ht="12.75" customHeight="1" x14ac:dyDescent="0.35"/>
    <row r="814" ht="12.75" customHeight="1" x14ac:dyDescent="0.35"/>
    <row r="815" ht="12.75" customHeight="1" x14ac:dyDescent="0.35"/>
    <row r="816" ht="12.75" customHeight="1" x14ac:dyDescent="0.35"/>
    <row r="817" ht="12.75" customHeight="1" x14ac:dyDescent="0.35"/>
    <row r="818" ht="12.75" customHeight="1" x14ac:dyDescent="0.35"/>
    <row r="819" ht="12.75" customHeight="1" x14ac:dyDescent="0.35"/>
    <row r="820" ht="12.75" customHeight="1" x14ac:dyDescent="0.35"/>
    <row r="821" ht="12.75" customHeight="1" x14ac:dyDescent="0.35"/>
    <row r="822" ht="12.75" customHeight="1" x14ac:dyDescent="0.35"/>
    <row r="823" ht="12.75" customHeight="1" x14ac:dyDescent="0.35"/>
    <row r="824" ht="12.75" customHeight="1" x14ac:dyDescent="0.35"/>
    <row r="825" ht="12.75" customHeight="1" x14ac:dyDescent="0.35"/>
    <row r="826" ht="12.75" customHeight="1" x14ac:dyDescent="0.35"/>
    <row r="827" ht="12.75" customHeight="1" x14ac:dyDescent="0.35"/>
    <row r="828" ht="12.75" customHeight="1" x14ac:dyDescent="0.35"/>
    <row r="829" ht="12.75" customHeight="1" x14ac:dyDescent="0.35"/>
    <row r="830" ht="12.75" customHeight="1" x14ac:dyDescent="0.35"/>
    <row r="831" ht="12.75" customHeight="1" x14ac:dyDescent="0.35"/>
    <row r="832" ht="12.75" customHeight="1" x14ac:dyDescent="0.35"/>
    <row r="833" ht="12.75" customHeight="1" x14ac:dyDescent="0.35"/>
    <row r="834" ht="12.75" customHeight="1" x14ac:dyDescent="0.35"/>
    <row r="835" ht="12.75" customHeight="1" x14ac:dyDescent="0.35"/>
    <row r="836" ht="12.75" customHeight="1" x14ac:dyDescent="0.35"/>
    <row r="837" ht="12.75" customHeight="1" x14ac:dyDescent="0.35"/>
    <row r="838" ht="12.75" customHeight="1" x14ac:dyDescent="0.35"/>
    <row r="839" ht="12.75" customHeight="1" x14ac:dyDescent="0.35"/>
    <row r="840" ht="12.75" customHeight="1" x14ac:dyDescent="0.35"/>
    <row r="841" ht="12.75" customHeight="1" x14ac:dyDescent="0.35"/>
    <row r="842" ht="12.75" customHeight="1" x14ac:dyDescent="0.35"/>
    <row r="843" ht="12.75" customHeight="1" x14ac:dyDescent="0.35"/>
    <row r="844" ht="12.75" customHeight="1" x14ac:dyDescent="0.35"/>
    <row r="845" ht="12.75" customHeight="1" x14ac:dyDescent="0.35"/>
    <row r="846" ht="12.75" customHeight="1" x14ac:dyDescent="0.35"/>
    <row r="847" ht="12.75" customHeight="1" x14ac:dyDescent="0.35"/>
    <row r="848" ht="12.75" customHeight="1" x14ac:dyDescent="0.35"/>
    <row r="849" ht="12.75" customHeight="1" x14ac:dyDescent="0.35"/>
    <row r="850" ht="12.75" customHeight="1" x14ac:dyDescent="0.35"/>
    <row r="851" ht="12.75" customHeight="1" x14ac:dyDescent="0.35"/>
    <row r="852" ht="12.75" customHeight="1" x14ac:dyDescent="0.35"/>
    <row r="853" ht="12.75" customHeight="1" x14ac:dyDescent="0.35"/>
    <row r="854" ht="12.75" customHeight="1" x14ac:dyDescent="0.35"/>
    <row r="855" ht="12.75" customHeight="1" x14ac:dyDescent="0.35"/>
    <row r="856" ht="12.75" customHeight="1" x14ac:dyDescent="0.35"/>
    <row r="857" ht="12.75" customHeight="1" x14ac:dyDescent="0.35"/>
    <row r="858" ht="12.75" customHeight="1" x14ac:dyDescent="0.35"/>
    <row r="859" ht="12.75" customHeight="1" x14ac:dyDescent="0.35"/>
    <row r="860" ht="12.75" customHeight="1" x14ac:dyDescent="0.35"/>
    <row r="861" ht="12.75" customHeight="1" x14ac:dyDescent="0.35"/>
    <row r="862" ht="12.75" customHeight="1" x14ac:dyDescent="0.35"/>
    <row r="863" ht="12.75" customHeight="1" x14ac:dyDescent="0.35"/>
    <row r="864" ht="12.75" customHeight="1" x14ac:dyDescent="0.35"/>
    <row r="865" ht="12.75" customHeight="1" x14ac:dyDescent="0.35"/>
    <row r="866" ht="12.75" customHeight="1" x14ac:dyDescent="0.35"/>
    <row r="867" ht="12.75" customHeight="1" x14ac:dyDescent="0.35"/>
    <row r="868" ht="12.75" customHeight="1" x14ac:dyDescent="0.35"/>
    <row r="869" ht="12.75" customHeight="1" x14ac:dyDescent="0.35"/>
    <row r="870" ht="12.7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qref="F9:F200" xr:uid="{00000000-0002-0000-06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>
      <pane ySplit="8" topLeftCell="A9" activePane="bottomLeft" state="frozen"/>
      <selection pane="bottomLeft"/>
    </sheetView>
  </sheetViews>
  <sheetFormatPr defaultColWidth="14.453125" defaultRowHeight="14.5" x14ac:dyDescent="0.35"/>
  <cols>
    <col min="1" max="1" width="16" customWidth="1"/>
    <col min="2" max="2" width="28" customWidth="1"/>
    <col min="3" max="4" width="50" customWidth="1"/>
    <col min="5" max="5" width="22" customWidth="1"/>
    <col min="6" max="6" width="13" customWidth="1"/>
    <col min="7" max="7" width="11" customWidth="1"/>
    <col min="8" max="8" width="24" customWidth="1"/>
    <col min="9" max="9" width="9.453125" customWidth="1"/>
    <col min="10" max="10" width="7.54296875" hidden="1" customWidth="1"/>
    <col min="11" max="11" width="10.26953125" customWidth="1"/>
    <col min="12" max="26" width="9.08984375" customWidth="1"/>
  </cols>
  <sheetData>
    <row r="1" spans="1:26" ht="13.5" customHeight="1" x14ac:dyDescent="0.35">
      <c r="A1" s="63"/>
      <c r="B1" s="64"/>
      <c r="C1" s="64"/>
      <c r="D1" s="64"/>
      <c r="E1" s="64"/>
      <c r="F1" s="65"/>
      <c r="G1" s="66"/>
      <c r="H1" s="35"/>
      <c r="I1" s="67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" customHeight="1" x14ac:dyDescent="0.35">
      <c r="A2" s="69" t="s">
        <v>121</v>
      </c>
      <c r="B2" s="124" t="s">
        <v>222</v>
      </c>
      <c r="C2" s="124"/>
      <c r="D2" s="124"/>
      <c r="E2" s="124"/>
      <c r="F2" s="124"/>
      <c r="G2" s="124"/>
      <c r="H2" s="124"/>
      <c r="I2" s="67"/>
      <c r="J2" s="68" t="s">
        <v>123</v>
      </c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spans="1:26" ht="25.5" customHeight="1" x14ac:dyDescent="0.35">
      <c r="A3" s="70" t="s">
        <v>124</v>
      </c>
      <c r="B3" s="124" t="s">
        <v>109</v>
      </c>
      <c r="C3" s="124"/>
      <c r="D3" s="124"/>
      <c r="E3" s="124"/>
      <c r="F3" s="124"/>
      <c r="G3" s="124"/>
      <c r="H3" s="124"/>
      <c r="I3" s="67"/>
      <c r="J3" s="68" t="s">
        <v>125</v>
      </c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spans="1:26" ht="18" customHeight="1" x14ac:dyDescent="0.35">
      <c r="A4" s="69" t="s">
        <v>126</v>
      </c>
      <c r="B4" s="124" t="s">
        <v>4</v>
      </c>
      <c r="C4" s="124"/>
      <c r="D4" s="124"/>
      <c r="E4" s="124"/>
      <c r="F4" s="124"/>
      <c r="G4" s="124"/>
      <c r="H4" s="124"/>
      <c r="I4" s="67"/>
      <c r="J4" s="68" t="s">
        <v>127</v>
      </c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19.5" customHeight="1" x14ac:dyDescent="0.35">
      <c r="A5" s="71" t="s">
        <v>123</v>
      </c>
      <c r="B5" s="72" t="s">
        <v>125</v>
      </c>
      <c r="C5" s="72" t="s">
        <v>128</v>
      </c>
      <c r="D5" s="72" t="s">
        <v>127</v>
      </c>
      <c r="E5" s="73" t="s">
        <v>129</v>
      </c>
      <c r="F5" s="125" t="s">
        <v>130</v>
      </c>
      <c r="G5" s="125"/>
      <c r="H5" s="125"/>
      <c r="I5" s="74"/>
      <c r="J5" s="68" t="s">
        <v>128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15" customHeight="1" x14ac:dyDescent="0.35">
      <c r="A6" s="75">
        <f>COUNTIF(F9:F996,"Passed")</f>
        <v>0</v>
      </c>
      <c r="B6" s="76">
        <f>COUNTIF(F9:F996,"Failed")</f>
        <v>0</v>
      </c>
      <c r="C6" s="76">
        <f>F6-E6-D6-B6-A6</f>
        <v>8</v>
      </c>
      <c r="D6" s="76">
        <f>COUNTIF(F$9:F$996,"Blocked")</f>
        <v>0</v>
      </c>
      <c r="E6" s="77">
        <f>COUNTIF(F$9:F$996,"Skipped")</f>
        <v>0</v>
      </c>
      <c r="F6" s="126">
        <f>COUNTA(A9:A996)</f>
        <v>8</v>
      </c>
      <c r="G6" s="126"/>
      <c r="H6" s="126"/>
      <c r="I6" s="74"/>
      <c r="J6" s="68" t="s">
        <v>129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15" customHeight="1" x14ac:dyDescent="0.35">
      <c r="A7" s="68"/>
      <c r="B7" s="68"/>
      <c r="C7" s="68"/>
      <c r="D7" s="78"/>
      <c r="E7" s="78"/>
      <c r="F7" s="78"/>
      <c r="G7" s="78"/>
      <c r="H7" s="78"/>
      <c r="I7" s="74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spans="1:26" ht="25.5" customHeight="1" x14ac:dyDescent="0.35">
      <c r="A8" s="79" t="s">
        <v>131</v>
      </c>
      <c r="B8" s="79" t="s">
        <v>132</v>
      </c>
      <c r="C8" s="79" t="s">
        <v>133</v>
      </c>
      <c r="D8" s="79" t="s">
        <v>134</v>
      </c>
      <c r="E8" s="80" t="s">
        <v>135</v>
      </c>
      <c r="F8" s="80" t="s">
        <v>136</v>
      </c>
      <c r="G8" s="80" t="s">
        <v>137</v>
      </c>
      <c r="H8" s="79" t="s">
        <v>49</v>
      </c>
      <c r="I8" s="81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spans="1:26" ht="109.5" customHeight="1" x14ac:dyDescent="0.35">
      <c r="A9" s="82" t="str">
        <f t="shared" ref="A9:A16" si="0">IF(OR(B9&lt;&gt;"",D9&lt;&gt;""),"["&amp;TEXT($B$2,"##")&amp;"-"&amp;TEXT(ROW()-8,"##")&amp;"]","")</f>
        <v>[Drafts-1]</v>
      </c>
      <c r="B9" s="83" t="s">
        <v>111</v>
      </c>
      <c r="C9" s="83" t="s">
        <v>223</v>
      </c>
      <c r="D9" s="83" t="s">
        <v>224</v>
      </c>
      <c r="E9" s="84" t="s">
        <v>140</v>
      </c>
      <c r="F9" s="82" t="s">
        <v>128</v>
      </c>
      <c r="G9" s="85"/>
      <c r="H9" s="86"/>
      <c r="I9" s="8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5.75" customHeight="1" x14ac:dyDescent="0.35">
      <c r="A10" s="82" t="str">
        <f t="shared" si="0"/>
        <v>[Drafts-2]</v>
      </c>
      <c r="B10" s="83" t="s">
        <v>112</v>
      </c>
      <c r="C10" s="83" t="s">
        <v>225</v>
      </c>
      <c r="D10" s="83" t="s">
        <v>226</v>
      </c>
      <c r="E10" s="84" t="s">
        <v>140</v>
      </c>
      <c r="F10" s="82" t="s">
        <v>128</v>
      </c>
      <c r="G10" s="85"/>
      <c r="H10" s="86"/>
      <c r="I10" s="8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3" customHeight="1" x14ac:dyDescent="0.35">
      <c r="A11" s="82" t="str">
        <f t="shared" si="0"/>
        <v>[Drafts-3]</v>
      </c>
      <c r="B11" s="83" t="s">
        <v>113</v>
      </c>
      <c r="C11" s="83" t="s">
        <v>227</v>
      </c>
      <c r="D11" s="83" t="s">
        <v>228</v>
      </c>
      <c r="E11" s="84" t="s">
        <v>140</v>
      </c>
      <c r="F11" s="82" t="s">
        <v>128</v>
      </c>
      <c r="G11" s="85"/>
      <c r="H11" s="86"/>
      <c r="I11" s="8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3" customHeight="1" x14ac:dyDescent="0.35">
      <c r="A12" s="82" t="str">
        <f t="shared" si="0"/>
        <v>[Drafts-4]</v>
      </c>
      <c r="B12" s="83" t="s">
        <v>114</v>
      </c>
      <c r="C12" s="83" t="s">
        <v>229</v>
      </c>
      <c r="D12" s="83" t="s">
        <v>230</v>
      </c>
      <c r="E12" s="84" t="s">
        <v>231</v>
      </c>
      <c r="F12" s="82" t="s">
        <v>128</v>
      </c>
      <c r="G12" s="85"/>
      <c r="H12" s="86"/>
      <c r="I12" s="8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96.75" customHeight="1" x14ac:dyDescent="0.35">
      <c r="A13" s="82" t="str">
        <f t="shared" si="0"/>
        <v>[Drafts-5]</v>
      </c>
      <c r="B13" s="83" t="s">
        <v>116</v>
      </c>
      <c r="C13" s="83" t="s">
        <v>232</v>
      </c>
      <c r="D13" s="83" t="s">
        <v>233</v>
      </c>
      <c r="E13" s="84" t="s">
        <v>234</v>
      </c>
      <c r="F13" s="82" t="s">
        <v>128</v>
      </c>
      <c r="G13" s="85"/>
      <c r="H13" s="86"/>
      <c r="I13" s="8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3" customHeight="1" x14ac:dyDescent="0.35">
      <c r="A14" s="82" t="str">
        <f t="shared" si="0"/>
        <v>[Drafts-6]</v>
      </c>
      <c r="B14" s="83" t="s">
        <v>117</v>
      </c>
      <c r="C14" s="83" t="s">
        <v>235</v>
      </c>
      <c r="D14" s="83" t="s">
        <v>236</v>
      </c>
      <c r="E14" s="84" t="s">
        <v>237</v>
      </c>
      <c r="F14" s="82" t="s">
        <v>128</v>
      </c>
      <c r="G14" s="85"/>
      <c r="H14" s="86"/>
      <c r="I14" s="8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35.75" customHeight="1" x14ac:dyDescent="0.35">
      <c r="A15" s="82" t="str">
        <f t="shared" si="0"/>
        <v>[Drafts-7]</v>
      </c>
      <c r="B15" s="83" t="s">
        <v>118</v>
      </c>
      <c r="C15" s="83" t="s">
        <v>238</v>
      </c>
      <c r="D15" s="83" t="s">
        <v>239</v>
      </c>
      <c r="E15" s="84" t="s">
        <v>237</v>
      </c>
      <c r="F15" s="82" t="s">
        <v>128</v>
      </c>
      <c r="G15" s="85"/>
      <c r="H15" s="86"/>
      <c r="I15" s="8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09.5" customHeight="1" x14ac:dyDescent="0.35">
      <c r="A16" s="82" t="str">
        <f t="shared" si="0"/>
        <v>[Drafts-8]</v>
      </c>
      <c r="B16" s="83" t="s">
        <v>120</v>
      </c>
      <c r="C16" s="83" t="s">
        <v>240</v>
      </c>
      <c r="D16" s="83" t="s">
        <v>241</v>
      </c>
      <c r="E16" s="84" t="s">
        <v>140</v>
      </c>
      <c r="F16" s="82" t="s">
        <v>128</v>
      </c>
      <c r="G16" s="85"/>
      <c r="H16" s="86"/>
      <c r="I16" s="8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35">
      <c r="A17" s="7"/>
      <c r="B17" s="7"/>
      <c r="C17" s="7"/>
      <c r="D17" s="7"/>
      <c r="E17" s="7"/>
      <c r="F17" s="7"/>
      <c r="G17" s="7"/>
      <c r="H17" s="7"/>
      <c r="I17" s="8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x14ac:dyDescent="0.35">
      <c r="A18" s="7"/>
      <c r="B18" s="7"/>
      <c r="C18" s="7"/>
      <c r="D18" s="7"/>
      <c r="E18" s="7"/>
      <c r="F18" s="7"/>
      <c r="G18" s="7"/>
      <c r="H18" s="7"/>
      <c r="I18" s="8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x14ac:dyDescent="0.35">
      <c r="A19" s="7"/>
      <c r="B19" s="7"/>
      <c r="C19" s="7"/>
      <c r="D19" s="7"/>
      <c r="E19" s="7"/>
      <c r="F19" s="7"/>
      <c r="G19" s="7"/>
      <c r="H19" s="7"/>
      <c r="I19" s="8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x14ac:dyDescent="0.35">
      <c r="A20" s="7"/>
      <c r="B20" s="7"/>
      <c r="C20" s="7"/>
      <c r="D20" s="7"/>
      <c r="E20" s="7"/>
      <c r="F20" s="7"/>
      <c r="G20" s="7"/>
      <c r="H20" s="7"/>
      <c r="I20" s="8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x14ac:dyDescent="0.35">
      <c r="A21" s="7"/>
      <c r="B21" s="7"/>
      <c r="C21" s="7"/>
      <c r="D21" s="7"/>
      <c r="E21" s="7"/>
      <c r="F21" s="7"/>
      <c r="G21" s="7"/>
      <c r="H21" s="7"/>
      <c r="I21" s="8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x14ac:dyDescent="0.35">
      <c r="A22" s="7"/>
      <c r="B22" s="7"/>
      <c r="C22" s="7"/>
      <c r="D22" s="7"/>
      <c r="E22" s="7"/>
      <c r="F22" s="7"/>
      <c r="G22" s="7"/>
      <c r="H22" s="7"/>
      <c r="I22" s="8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x14ac:dyDescent="0.35">
      <c r="A23" s="7"/>
      <c r="B23" s="7"/>
      <c r="C23" s="7"/>
      <c r="D23" s="7"/>
      <c r="E23" s="7"/>
      <c r="F23" s="7"/>
      <c r="G23" s="7"/>
      <c r="H23" s="7"/>
      <c r="I23" s="8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35">
      <c r="A24" s="7"/>
      <c r="B24" s="7"/>
      <c r="C24" s="7"/>
      <c r="D24" s="7"/>
      <c r="E24" s="7"/>
      <c r="F24" s="7"/>
      <c r="G24" s="7"/>
      <c r="H24" s="7"/>
      <c r="I24" s="8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35">
      <c r="A25" s="7"/>
      <c r="B25" s="7"/>
      <c r="C25" s="7"/>
      <c r="D25" s="7"/>
      <c r="E25" s="7"/>
      <c r="F25" s="7"/>
      <c r="G25" s="7"/>
      <c r="H25" s="7"/>
      <c r="I25" s="8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35">
      <c r="A26" s="7"/>
      <c r="B26" s="7"/>
      <c r="C26" s="7"/>
      <c r="D26" s="7"/>
      <c r="E26" s="7"/>
      <c r="F26" s="7"/>
      <c r="G26" s="7"/>
      <c r="H26" s="7"/>
      <c r="I26" s="8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35">
      <c r="A27" s="7"/>
      <c r="B27" s="7"/>
      <c r="C27" s="7"/>
      <c r="D27" s="7"/>
      <c r="E27" s="7"/>
      <c r="F27" s="7"/>
      <c r="G27" s="7"/>
      <c r="H27" s="7"/>
      <c r="I27" s="8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35">
      <c r="A28" s="7"/>
      <c r="B28" s="7"/>
      <c r="C28" s="7"/>
      <c r="D28" s="7"/>
      <c r="E28" s="7"/>
      <c r="F28" s="7"/>
      <c r="G28" s="7"/>
      <c r="H28" s="7"/>
      <c r="I28" s="8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35">
      <c r="A29" s="7"/>
      <c r="B29" s="7"/>
      <c r="C29" s="7"/>
      <c r="D29" s="7"/>
      <c r="E29" s="7"/>
      <c r="F29" s="7"/>
      <c r="G29" s="7"/>
      <c r="H29" s="7"/>
      <c r="I29" s="8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35">
      <c r="A30" s="7"/>
      <c r="B30" s="7"/>
      <c r="C30" s="7"/>
      <c r="D30" s="7"/>
      <c r="E30" s="7"/>
      <c r="F30" s="7"/>
      <c r="G30" s="7"/>
      <c r="H30" s="7"/>
      <c r="I30" s="8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35">
      <c r="A31" s="7"/>
      <c r="B31" s="7"/>
      <c r="C31" s="7"/>
      <c r="D31" s="7"/>
      <c r="E31" s="7"/>
      <c r="F31" s="7"/>
      <c r="G31" s="7"/>
      <c r="H31" s="7"/>
      <c r="I31" s="8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35">
      <c r="A32" s="7"/>
      <c r="B32" s="7"/>
      <c r="C32" s="7"/>
      <c r="D32" s="7"/>
      <c r="E32" s="7"/>
      <c r="F32" s="7"/>
      <c r="G32" s="7"/>
      <c r="H32" s="7"/>
      <c r="I32" s="8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35">
      <c r="A33" s="7"/>
      <c r="B33" s="7"/>
      <c r="C33" s="7"/>
      <c r="D33" s="7"/>
      <c r="E33" s="7"/>
      <c r="F33" s="7"/>
      <c r="G33" s="7"/>
      <c r="H33" s="7"/>
      <c r="I33" s="8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35">
      <c r="A34" s="7"/>
      <c r="B34" s="7"/>
      <c r="C34" s="7"/>
      <c r="D34" s="7"/>
      <c r="E34" s="7"/>
      <c r="F34" s="7"/>
      <c r="G34" s="7"/>
      <c r="H34" s="7"/>
      <c r="I34" s="8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35">
      <c r="A35" s="7"/>
      <c r="B35" s="7"/>
      <c r="C35" s="7"/>
      <c r="D35" s="7"/>
      <c r="E35" s="7"/>
      <c r="F35" s="7"/>
      <c r="G35" s="7"/>
      <c r="H35" s="7"/>
      <c r="I35" s="8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35">
      <c r="A36" s="7"/>
      <c r="B36" s="7"/>
      <c r="C36" s="7"/>
      <c r="D36" s="7"/>
      <c r="E36" s="7"/>
      <c r="F36" s="7"/>
      <c r="G36" s="7"/>
      <c r="H36" s="7"/>
      <c r="I36" s="8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35">
      <c r="A37" s="7"/>
      <c r="B37" s="7"/>
      <c r="C37" s="7"/>
      <c r="D37" s="7"/>
      <c r="E37" s="7"/>
      <c r="F37" s="7"/>
      <c r="G37" s="7"/>
      <c r="H37" s="7"/>
      <c r="I37" s="8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35">
      <c r="A38" s="7"/>
      <c r="B38" s="7"/>
      <c r="C38" s="7"/>
      <c r="D38" s="7"/>
      <c r="E38" s="7"/>
      <c r="F38" s="7"/>
      <c r="G38" s="7"/>
      <c r="H38" s="7"/>
      <c r="I38" s="8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35">
      <c r="A39" s="7"/>
      <c r="B39" s="7"/>
      <c r="C39" s="7"/>
      <c r="D39" s="7"/>
      <c r="E39" s="7"/>
      <c r="F39" s="7"/>
      <c r="G39" s="7"/>
      <c r="H39" s="7"/>
      <c r="I39" s="8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8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8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8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8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8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8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8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8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8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8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8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8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8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8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8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8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8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8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8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8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8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8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8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8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8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8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8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8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8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8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8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8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8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8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8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8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8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8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8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8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8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8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8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8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8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8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8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8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8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8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8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8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8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8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8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8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8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8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8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8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8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8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8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8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8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8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8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8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8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8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8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8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8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8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8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8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8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8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8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8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8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8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8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8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8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8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8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8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8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8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8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8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8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8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8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8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8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8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8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8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8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8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8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8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8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8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8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8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8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8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8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8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8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8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8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8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8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8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8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8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8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8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8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8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8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8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8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8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8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8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8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8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8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8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8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8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8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8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8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8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8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8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8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8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8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8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8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8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8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8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8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8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8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8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8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8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8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8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8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8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8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8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8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8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8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8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8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8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8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8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8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8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8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8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8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8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8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8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8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8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8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8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8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8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8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8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8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8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8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8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8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8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8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8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8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8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8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8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8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8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8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8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8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8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8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8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8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8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8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8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8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8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8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8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8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8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8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8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8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8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8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8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8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8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8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8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8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8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8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8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8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8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8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8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8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8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8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8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8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8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8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8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8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8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8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8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8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8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8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8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8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8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8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8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8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8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8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8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8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8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8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8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8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8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8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8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8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8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8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8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8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8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8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8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8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8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8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8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8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8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8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8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8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8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8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8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8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8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8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8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8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8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8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8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8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8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8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8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8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8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8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8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8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8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8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8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8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8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8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8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8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8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8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8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8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8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8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8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8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8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8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8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8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8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8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8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8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8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8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8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8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8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8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8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8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8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8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8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8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8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8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8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8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8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8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8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8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8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8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8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8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8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8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8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8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8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8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8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8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8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8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8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8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8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8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8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8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8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8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8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8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8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8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8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8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8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8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8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8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8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8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8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8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8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8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8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8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8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8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8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8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8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8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8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8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8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8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8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8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8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8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8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8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8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8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8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8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8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8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8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8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8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8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8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8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8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8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8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8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8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8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8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8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8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8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8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8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8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8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8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8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8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8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8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8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8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8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8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8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8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8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8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8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8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8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8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8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8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8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8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8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8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8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8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8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8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8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8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8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8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8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8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8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8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8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8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8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8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8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8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8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8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8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8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8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8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8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8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8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8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8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8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8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8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8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8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8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8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8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8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8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8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8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8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8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8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8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8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8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8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8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8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8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8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8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8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8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8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8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8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8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8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8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8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8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8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8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8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8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8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8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8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8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8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8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8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8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8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8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8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8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8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8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8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8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8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8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8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8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8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8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8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8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8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8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8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8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8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8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8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8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8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8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8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8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8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8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8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8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8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8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8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8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8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8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8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8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8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8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8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8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8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8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8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8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8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8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8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8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8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8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8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8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8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8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8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8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8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8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8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8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8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8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8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8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8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8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8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8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8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8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8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8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8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8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8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8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8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8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8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8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8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8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8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8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8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8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8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8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8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8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8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8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8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8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8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8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8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8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8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8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8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8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8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8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8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8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8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8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8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8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8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8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8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8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8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8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8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8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8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8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8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8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8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8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8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8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8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8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8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8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8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8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8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8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8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8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8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8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8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8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8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8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8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8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8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8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8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8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8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8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8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8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8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8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8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8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8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8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8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8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8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8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8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8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8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8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8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8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8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8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8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8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8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8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8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8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8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8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8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8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8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8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8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8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8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8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8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8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8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8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8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8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8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8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8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8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8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8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8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8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8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8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8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8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8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8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8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8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8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8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8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8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8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8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8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8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8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8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8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8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8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8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8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8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8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8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8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8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8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8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2.75" customHeight="1" x14ac:dyDescent="0.35"/>
    <row r="802" ht="12.75" customHeight="1" x14ac:dyDescent="0.35"/>
    <row r="803" ht="12.75" customHeight="1" x14ac:dyDescent="0.35"/>
    <row r="804" ht="12.75" customHeight="1" x14ac:dyDescent="0.35"/>
    <row r="805" ht="12.75" customHeight="1" x14ac:dyDescent="0.35"/>
    <row r="806" ht="12.75" customHeight="1" x14ac:dyDescent="0.35"/>
    <row r="807" ht="12.75" customHeight="1" x14ac:dyDescent="0.35"/>
    <row r="808" ht="12.75" customHeight="1" x14ac:dyDescent="0.35"/>
    <row r="809" ht="12.75" customHeight="1" x14ac:dyDescent="0.35"/>
    <row r="810" ht="12.75" customHeight="1" x14ac:dyDescent="0.35"/>
    <row r="811" ht="12.75" customHeight="1" x14ac:dyDescent="0.35"/>
    <row r="812" ht="12.75" customHeight="1" x14ac:dyDescent="0.35"/>
    <row r="813" ht="12.75" customHeight="1" x14ac:dyDescent="0.35"/>
    <row r="814" ht="12.75" customHeight="1" x14ac:dyDescent="0.35"/>
    <row r="815" ht="12.75" customHeight="1" x14ac:dyDescent="0.35"/>
    <row r="816" ht="12.75" customHeight="1" x14ac:dyDescent="0.35"/>
    <row r="817" ht="12.75" customHeight="1" x14ac:dyDescent="0.35"/>
    <row r="818" ht="12.75" customHeight="1" x14ac:dyDescent="0.35"/>
    <row r="819" ht="12.75" customHeight="1" x14ac:dyDescent="0.35"/>
    <row r="820" ht="12.75" customHeight="1" x14ac:dyDescent="0.35"/>
    <row r="821" ht="12.75" customHeight="1" x14ac:dyDescent="0.35"/>
    <row r="822" ht="12.75" customHeight="1" x14ac:dyDescent="0.35"/>
    <row r="823" ht="12.75" customHeight="1" x14ac:dyDescent="0.35"/>
    <row r="824" ht="12.75" customHeight="1" x14ac:dyDescent="0.35"/>
    <row r="825" ht="12.75" customHeight="1" x14ac:dyDescent="0.35"/>
    <row r="826" ht="12.75" customHeight="1" x14ac:dyDescent="0.35"/>
    <row r="827" ht="12.75" customHeight="1" x14ac:dyDescent="0.35"/>
    <row r="828" ht="12.75" customHeight="1" x14ac:dyDescent="0.35"/>
    <row r="829" ht="12.75" customHeight="1" x14ac:dyDescent="0.35"/>
    <row r="830" ht="12.75" customHeight="1" x14ac:dyDescent="0.35"/>
    <row r="831" ht="12.75" customHeight="1" x14ac:dyDescent="0.35"/>
    <row r="832" ht="12.75" customHeight="1" x14ac:dyDescent="0.35"/>
    <row r="833" ht="12.75" customHeight="1" x14ac:dyDescent="0.35"/>
    <row r="834" ht="12.75" customHeight="1" x14ac:dyDescent="0.35"/>
    <row r="835" ht="12.75" customHeight="1" x14ac:dyDescent="0.35"/>
    <row r="836" ht="12.75" customHeight="1" x14ac:dyDescent="0.35"/>
    <row r="837" ht="12.75" customHeight="1" x14ac:dyDescent="0.35"/>
    <row r="838" ht="12.75" customHeight="1" x14ac:dyDescent="0.35"/>
    <row r="839" ht="12.75" customHeight="1" x14ac:dyDescent="0.35"/>
    <row r="840" ht="12.75" customHeight="1" x14ac:dyDescent="0.35"/>
    <row r="841" ht="12.75" customHeight="1" x14ac:dyDescent="0.35"/>
    <row r="842" ht="12.75" customHeight="1" x14ac:dyDescent="0.35"/>
    <row r="843" ht="12.75" customHeight="1" x14ac:dyDescent="0.35"/>
    <row r="844" ht="12.75" customHeight="1" x14ac:dyDescent="0.35"/>
    <row r="845" ht="12.75" customHeight="1" x14ac:dyDescent="0.35"/>
    <row r="846" ht="12.75" customHeight="1" x14ac:dyDescent="0.35"/>
    <row r="847" ht="12.75" customHeight="1" x14ac:dyDescent="0.35"/>
    <row r="848" ht="12.75" customHeight="1" x14ac:dyDescent="0.35"/>
    <row r="849" ht="12.75" customHeight="1" x14ac:dyDescent="0.35"/>
    <row r="850" ht="12.75" customHeight="1" x14ac:dyDescent="0.35"/>
    <row r="851" ht="12.75" customHeight="1" x14ac:dyDescent="0.35"/>
    <row r="852" ht="12.75" customHeight="1" x14ac:dyDescent="0.35"/>
    <row r="853" ht="12.75" customHeight="1" x14ac:dyDescent="0.35"/>
    <row r="854" ht="12.75" customHeight="1" x14ac:dyDescent="0.35"/>
    <row r="855" ht="12.75" customHeight="1" x14ac:dyDescent="0.35"/>
    <row r="856" ht="12.75" customHeight="1" x14ac:dyDescent="0.35"/>
    <row r="857" ht="12.75" customHeight="1" x14ac:dyDescent="0.35"/>
    <row r="858" ht="12.75" customHeight="1" x14ac:dyDescent="0.35"/>
    <row r="859" ht="12.75" customHeight="1" x14ac:dyDescent="0.35"/>
    <row r="860" ht="12.75" customHeight="1" x14ac:dyDescent="0.35"/>
    <row r="861" ht="12.75" customHeight="1" x14ac:dyDescent="0.35"/>
    <row r="862" ht="12.75" customHeight="1" x14ac:dyDescent="0.35"/>
    <row r="863" ht="12.75" customHeight="1" x14ac:dyDescent="0.35"/>
    <row r="864" ht="12.75" customHeight="1" x14ac:dyDescent="0.35"/>
    <row r="865" ht="12.75" customHeight="1" x14ac:dyDescent="0.35"/>
    <row r="866" ht="12.75" customHeight="1" x14ac:dyDescent="0.35"/>
    <row r="867" ht="12.75" customHeight="1" x14ac:dyDescent="0.35"/>
    <row r="868" ht="12.75" customHeight="1" x14ac:dyDescent="0.35"/>
    <row r="869" ht="12.75" customHeight="1" x14ac:dyDescent="0.35"/>
    <row r="870" ht="12.75" customHeight="1" x14ac:dyDescent="0.35"/>
    <row r="871" ht="12.75" customHeight="1" x14ac:dyDescent="0.35"/>
    <row r="872" ht="12.75" customHeight="1" x14ac:dyDescent="0.35"/>
    <row r="873" ht="12.75" customHeight="1" x14ac:dyDescent="0.35"/>
    <row r="874" ht="12.75" customHeight="1" x14ac:dyDescent="0.35"/>
    <row r="875" ht="12.75" customHeight="1" x14ac:dyDescent="0.35"/>
    <row r="876" ht="12.75" customHeight="1" x14ac:dyDescent="0.35"/>
    <row r="877" ht="12.75" customHeight="1" x14ac:dyDescent="0.35"/>
    <row r="878" ht="12.75" customHeight="1" x14ac:dyDescent="0.35"/>
    <row r="879" ht="12.75" customHeight="1" x14ac:dyDescent="0.35"/>
    <row r="880" ht="12.75" customHeight="1" x14ac:dyDescent="0.35"/>
    <row r="881" ht="12.75" customHeight="1" x14ac:dyDescent="0.35"/>
    <row r="882" ht="12.75" customHeight="1" x14ac:dyDescent="0.35"/>
    <row r="883" ht="12.75" customHeight="1" x14ac:dyDescent="0.35"/>
    <row r="884" ht="12.75" customHeight="1" x14ac:dyDescent="0.35"/>
    <row r="885" ht="12.75" customHeight="1" x14ac:dyDescent="0.35"/>
    <row r="886" ht="12.75" customHeight="1" x14ac:dyDescent="0.35"/>
    <row r="887" ht="12.75" customHeight="1" x14ac:dyDescent="0.35"/>
    <row r="888" ht="12.75" customHeight="1" x14ac:dyDescent="0.35"/>
    <row r="889" ht="12.75" customHeight="1" x14ac:dyDescent="0.35"/>
    <row r="890" ht="12.75" customHeight="1" x14ac:dyDescent="0.35"/>
    <row r="891" ht="12.75" customHeight="1" x14ac:dyDescent="0.35"/>
    <row r="892" ht="12.75" customHeight="1" x14ac:dyDescent="0.35"/>
    <row r="893" ht="12.75" customHeight="1" x14ac:dyDescent="0.35"/>
    <row r="894" ht="12.75" customHeight="1" x14ac:dyDescent="0.35"/>
    <row r="895" ht="12.75" customHeight="1" x14ac:dyDescent="0.35"/>
    <row r="896" ht="12.75" customHeight="1" x14ac:dyDescent="0.35"/>
    <row r="897" ht="12.75" customHeight="1" x14ac:dyDescent="0.35"/>
    <row r="898" ht="12.75" customHeight="1" x14ac:dyDescent="0.35"/>
    <row r="899" ht="12.75" customHeight="1" x14ac:dyDescent="0.35"/>
    <row r="900" ht="12.75" customHeight="1" x14ac:dyDescent="0.35"/>
    <row r="901" ht="12.75" customHeight="1" x14ac:dyDescent="0.35"/>
    <row r="902" ht="12.75" customHeight="1" x14ac:dyDescent="0.35"/>
    <row r="903" ht="12.75" customHeight="1" x14ac:dyDescent="0.35"/>
    <row r="904" ht="12.75" customHeight="1" x14ac:dyDescent="0.35"/>
    <row r="905" ht="12.75" customHeight="1" x14ac:dyDescent="0.35"/>
    <row r="906" ht="12.75" customHeight="1" x14ac:dyDescent="0.35"/>
    <row r="907" ht="12.75" customHeight="1" x14ac:dyDescent="0.35"/>
    <row r="908" ht="12.75" customHeight="1" x14ac:dyDescent="0.35"/>
    <row r="909" ht="12.75" customHeight="1" x14ac:dyDescent="0.35"/>
    <row r="910" ht="12.75" customHeight="1" x14ac:dyDescent="0.35"/>
    <row r="911" ht="12.75" customHeight="1" x14ac:dyDescent="0.35"/>
    <row r="912" ht="12.75" customHeight="1" x14ac:dyDescent="0.35"/>
    <row r="913" ht="12.75" customHeight="1" x14ac:dyDescent="0.35"/>
    <row r="914" ht="12.75" customHeight="1" x14ac:dyDescent="0.35"/>
    <row r="915" ht="12.75" customHeight="1" x14ac:dyDescent="0.35"/>
    <row r="916" ht="12.75" customHeight="1" x14ac:dyDescent="0.35"/>
    <row r="917" ht="12.75" customHeight="1" x14ac:dyDescent="0.35"/>
    <row r="918" ht="12.75" customHeight="1" x14ac:dyDescent="0.35"/>
    <row r="919" ht="12.75" customHeight="1" x14ac:dyDescent="0.35"/>
    <row r="920" ht="12.75" customHeight="1" x14ac:dyDescent="0.35"/>
    <row r="921" ht="12.75" customHeight="1" x14ac:dyDescent="0.35"/>
    <row r="922" ht="12.75" customHeight="1" x14ac:dyDescent="0.35"/>
    <row r="923" ht="12.75" customHeight="1" x14ac:dyDescent="0.35"/>
    <row r="924" ht="12.75" customHeight="1" x14ac:dyDescent="0.35"/>
    <row r="925" ht="12.75" customHeight="1" x14ac:dyDescent="0.35"/>
    <row r="926" ht="12.75" customHeight="1" x14ac:dyDescent="0.35"/>
    <row r="927" ht="12.75" customHeight="1" x14ac:dyDescent="0.35"/>
    <row r="928" ht="12.75" customHeight="1" x14ac:dyDescent="0.35"/>
    <row r="929" ht="12.75" customHeight="1" x14ac:dyDescent="0.35"/>
    <row r="930" ht="12.75" customHeight="1" x14ac:dyDescent="0.35"/>
    <row r="931" ht="12.75" customHeight="1" x14ac:dyDescent="0.35"/>
    <row r="932" ht="12.75" customHeight="1" x14ac:dyDescent="0.35"/>
    <row r="933" ht="12.75" customHeight="1" x14ac:dyDescent="0.35"/>
    <row r="934" ht="12.75" customHeight="1" x14ac:dyDescent="0.35"/>
    <row r="935" ht="12.75" customHeight="1" x14ac:dyDescent="0.35"/>
    <row r="936" ht="12.75" customHeight="1" x14ac:dyDescent="0.35"/>
    <row r="937" ht="12.75" customHeight="1" x14ac:dyDescent="0.35"/>
    <row r="938" ht="12.75" customHeight="1" x14ac:dyDescent="0.35"/>
    <row r="939" ht="12.75" customHeight="1" x14ac:dyDescent="0.35"/>
    <row r="940" ht="12.75" customHeight="1" x14ac:dyDescent="0.35"/>
    <row r="941" ht="12.75" customHeight="1" x14ac:dyDescent="0.35"/>
    <row r="942" ht="12.75" customHeight="1" x14ac:dyDescent="0.35"/>
    <row r="943" ht="12.75" customHeight="1" x14ac:dyDescent="0.35"/>
    <row r="944" ht="12.75" customHeight="1" x14ac:dyDescent="0.35"/>
    <row r="945" ht="12.75" customHeight="1" x14ac:dyDescent="0.35"/>
    <row r="946" ht="12.75" customHeight="1" x14ac:dyDescent="0.35"/>
    <row r="947" ht="12.75" customHeight="1" x14ac:dyDescent="0.35"/>
    <row r="948" ht="12.75" customHeight="1" x14ac:dyDescent="0.35"/>
    <row r="949" ht="12.75" customHeight="1" x14ac:dyDescent="0.35"/>
    <row r="950" ht="12.75" customHeight="1" x14ac:dyDescent="0.35"/>
    <row r="951" ht="12.75" customHeight="1" x14ac:dyDescent="0.35"/>
    <row r="952" ht="12.75" customHeight="1" x14ac:dyDescent="0.35"/>
    <row r="953" ht="12.75" customHeight="1" x14ac:dyDescent="0.35"/>
    <row r="954" ht="12.75" customHeight="1" x14ac:dyDescent="0.35"/>
    <row r="955" ht="12.75" customHeight="1" x14ac:dyDescent="0.35"/>
    <row r="956" ht="12.75" customHeight="1" x14ac:dyDescent="0.35"/>
    <row r="957" ht="12.75" customHeight="1" x14ac:dyDescent="0.35"/>
    <row r="958" ht="12.75" customHeight="1" x14ac:dyDescent="0.35"/>
    <row r="959" ht="12.75" customHeight="1" x14ac:dyDescent="0.35"/>
    <row r="960" ht="12.75" customHeight="1" x14ac:dyDescent="0.35"/>
    <row r="961" ht="12.75" customHeight="1" x14ac:dyDescent="0.35"/>
    <row r="962" ht="12.75" customHeight="1" x14ac:dyDescent="0.35"/>
    <row r="963" ht="12.75" customHeight="1" x14ac:dyDescent="0.35"/>
    <row r="964" ht="12.75" customHeight="1" x14ac:dyDescent="0.35"/>
    <row r="965" ht="12.75" customHeight="1" x14ac:dyDescent="0.35"/>
    <row r="966" ht="12.75" customHeight="1" x14ac:dyDescent="0.35"/>
    <row r="967" ht="12.75" customHeight="1" x14ac:dyDescent="0.35"/>
    <row r="968" ht="12.75" customHeight="1" x14ac:dyDescent="0.35"/>
    <row r="969" ht="12.75" customHeight="1" x14ac:dyDescent="0.35"/>
    <row r="970" ht="12.75" customHeight="1" x14ac:dyDescent="0.35"/>
    <row r="971" ht="12.75" customHeight="1" x14ac:dyDescent="0.35"/>
    <row r="972" ht="12.75" customHeight="1" x14ac:dyDescent="0.35"/>
    <row r="973" ht="12.75" customHeight="1" x14ac:dyDescent="0.35"/>
    <row r="974" ht="12.75" customHeight="1" x14ac:dyDescent="0.35"/>
    <row r="975" ht="12.75" customHeight="1" x14ac:dyDescent="0.35"/>
    <row r="976" ht="12.75" customHeight="1" x14ac:dyDescent="0.35"/>
    <row r="977" ht="12.75" customHeight="1" x14ac:dyDescent="0.35"/>
    <row r="978" ht="12.75" customHeight="1" x14ac:dyDescent="0.35"/>
    <row r="979" ht="12.75" customHeight="1" x14ac:dyDescent="0.35"/>
    <row r="980" ht="12.75" customHeight="1" x14ac:dyDescent="0.35"/>
    <row r="981" ht="12.75" customHeight="1" x14ac:dyDescent="0.35"/>
    <row r="982" ht="12.75" customHeight="1" x14ac:dyDescent="0.35"/>
    <row r="983" ht="12.75" customHeight="1" x14ac:dyDescent="0.35"/>
    <row r="984" ht="12.75" customHeight="1" x14ac:dyDescent="0.35"/>
    <row r="985" ht="12.75" customHeight="1" x14ac:dyDescent="0.35"/>
    <row r="986" ht="12.75" customHeight="1" x14ac:dyDescent="0.35"/>
    <row r="987" ht="12.75" customHeight="1" x14ac:dyDescent="0.35"/>
    <row r="988" ht="12.75" customHeight="1" x14ac:dyDescent="0.35"/>
    <row r="989" ht="12.75" customHeight="1" x14ac:dyDescent="0.35"/>
    <row r="990" ht="12.75" customHeight="1" x14ac:dyDescent="0.35"/>
    <row r="991" ht="12.75" customHeight="1" x14ac:dyDescent="0.35"/>
    <row r="992" ht="12.75" customHeight="1" x14ac:dyDescent="0.35"/>
    <row r="993" ht="12.75" customHeight="1" x14ac:dyDescent="0.35"/>
    <row r="994" ht="12.75" customHeight="1" x14ac:dyDescent="0.35"/>
    <row r="995" ht="12.75" customHeight="1" x14ac:dyDescent="0.35"/>
    <row r="996" ht="12.75" customHeight="1" x14ac:dyDescent="0.35"/>
    <row r="997" ht="12.75" customHeight="1" x14ac:dyDescent="0.35"/>
    <row r="998" ht="12.75" customHeight="1" x14ac:dyDescent="0.35"/>
    <row r="999" ht="12.75" customHeight="1" x14ac:dyDescent="0.35"/>
    <row r="1000" ht="12.75" customHeight="1" x14ac:dyDescent="0.35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qref="F9:F200" xr:uid="{00000000-0002-0000-0700-000000000000}">
      <formula1>$J$2:$J$6</formula1>
      <formula2>0</formula2>
    </dataValidation>
  </dataValidations>
  <pageMargins left="0.7" right="0.7" top="0.75" bottom="0.75" header="0.511811023622047" footer="0.511811023622047"/>
  <pageSetup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zoomScaleNormal="100" workbookViewId="0"/>
  </sheetViews>
  <sheetFormatPr defaultColWidth="14.453125" defaultRowHeight="14.5" x14ac:dyDescent="0.35"/>
  <cols>
    <col min="1" max="1" width="10.26953125" customWidth="1"/>
    <col min="2" max="2" width="15.453125" customWidth="1"/>
    <col min="3" max="3" width="22.1796875" customWidth="1"/>
    <col min="4" max="6" width="10.26953125" customWidth="1"/>
    <col min="7" max="7" width="11.26953125" customWidth="1"/>
    <col min="8" max="8" width="11.7265625" customWidth="1"/>
    <col min="9" max="9" width="30.08984375" customWidth="1"/>
    <col min="10" max="26" width="9.08984375" customWidth="1"/>
  </cols>
  <sheetData>
    <row r="1" spans="1:26" ht="25.5" customHeight="1" x14ac:dyDescent="0.45">
      <c r="A1" s="7"/>
      <c r="B1" s="128" t="s">
        <v>242</v>
      </c>
      <c r="C1" s="128"/>
      <c r="D1" s="128"/>
      <c r="E1" s="128"/>
      <c r="F1" s="128"/>
      <c r="G1" s="128"/>
      <c r="H1" s="12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5">
      <c r="A2" s="88"/>
      <c r="B2" s="88"/>
      <c r="C2" s="7"/>
      <c r="D2" s="7"/>
      <c r="E2" s="7"/>
      <c r="F2" s="7"/>
      <c r="G2" s="7"/>
      <c r="H2" s="89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5">
      <c r="A3" s="7"/>
      <c r="B3" s="10" t="s">
        <v>1</v>
      </c>
      <c r="C3" s="121" t="str">
        <f>Cover!C4</f>
        <v>Gmail</v>
      </c>
      <c r="D3" s="121"/>
      <c r="E3" s="127" t="s">
        <v>3</v>
      </c>
      <c r="F3" s="127"/>
      <c r="G3" s="90" t="s">
        <v>4</v>
      </c>
      <c r="H3" s="91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5">
      <c r="A4" s="7"/>
      <c r="B4" s="10" t="s">
        <v>5</v>
      </c>
      <c r="C4" s="121" t="str">
        <f>Cover!C5</f>
        <v>GMAIL</v>
      </c>
      <c r="D4" s="121"/>
      <c r="E4" s="127" t="s">
        <v>7</v>
      </c>
      <c r="F4" s="127"/>
      <c r="G4" s="90" t="s">
        <v>8</v>
      </c>
      <c r="H4" s="91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5">
      <c r="A5" s="7"/>
      <c r="B5" s="92" t="s">
        <v>9</v>
      </c>
      <c r="C5" s="121" t="str">
        <f>C4&amp;"_"&amp;"Test Report"&amp;"_"&amp;"v0.1"</f>
        <v>GMAIL_Test Report_v0.1</v>
      </c>
      <c r="D5" s="121"/>
      <c r="E5" s="127" t="s">
        <v>10</v>
      </c>
      <c r="F5" s="127"/>
      <c r="G5" s="93">
        <v>46312</v>
      </c>
      <c r="H5" s="94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5">
      <c r="A6" s="88"/>
      <c r="B6" s="92" t="s">
        <v>243</v>
      </c>
      <c r="C6" s="123" t="s">
        <v>244</v>
      </c>
      <c r="D6" s="123"/>
      <c r="E6" s="123"/>
      <c r="F6" s="123"/>
      <c r="G6" s="123"/>
      <c r="H6" s="123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5">
      <c r="A7" s="88"/>
      <c r="B7" s="13"/>
      <c r="C7" s="95"/>
      <c r="D7" s="7"/>
      <c r="E7" s="7"/>
      <c r="F7" s="7"/>
      <c r="G7" s="7"/>
      <c r="H7" s="89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5">
      <c r="A8" s="7"/>
      <c r="B8" s="13"/>
      <c r="C8" s="95"/>
      <c r="D8" s="7"/>
      <c r="E8" s="7"/>
      <c r="F8" s="7"/>
      <c r="G8" s="7"/>
      <c r="H8" s="89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5">
      <c r="A10" s="96"/>
      <c r="B10" s="97" t="s">
        <v>24</v>
      </c>
      <c r="C10" s="98" t="s">
        <v>245</v>
      </c>
      <c r="D10" s="99" t="s">
        <v>246</v>
      </c>
      <c r="E10" s="98" t="s">
        <v>247</v>
      </c>
      <c r="F10" s="98" t="s">
        <v>128</v>
      </c>
      <c r="G10" s="100" t="s">
        <v>127</v>
      </c>
      <c r="H10" s="101" t="s">
        <v>129</v>
      </c>
      <c r="I10" s="101" t="s">
        <v>248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5">
      <c r="A11" s="96"/>
      <c r="B11" s="102">
        <v>1</v>
      </c>
      <c r="C11" s="103" t="str">
        <f>'Khung soạn thư'!B2</f>
        <v>ComposeWindow</v>
      </c>
      <c r="D11" s="104">
        <f>'Khung soạn thư'!A6</f>
        <v>6</v>
      </c>
      <c r="E11" s="104">
        <f>'Khung soạn thư'!B6</f>
        <v>0</v>
      </c>
      <c r="F11" s="104">
        <f>'Khung soạn thư'!C6</f>
        <v>0</v>
      </c>
      <c r="G11" s="104">
        <f>'Khung soạn thư'!D6</f>
        <v>0</v>
      </c>
      <c r="H11" s="104">
        <f>'Khung soạn thư'!E6</f>
        <v>0</v>
      </c>
      <c r="I11" s="105">
        <f>'Khung soạn thư'!F6</f>
        <v>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5">
      <c r="A12" s="96"/>
      <c r="B12" s="102">
        <v>2</v>
      </c>
      <c r="C12" s="103" t="str">
        <f>'Gửi thư'!B2</f>
        <v>SendEmail</v>
      </c>
      <c r="D12" s="104">
        <f>'Gửi thư'!A6</f>
        <v>1</v>
      </c>
      <c r="E12" s="104">
        <f>'Gửi thư'!B6</f>
        <v>0</v>
      </c>
      <c r="F12" s="104">
        <f>'Gửi thư'!C6</f>
        <v>5</v>
      </c>
      <c r="G12" s="104">
        <f>'Gửi thư'!D6</f>
        <v>0</v>
      </c>
      <c r="H12" s="104">
        <f>'Gửi thư'!E6</f>
        <v>0</v>
      </c>
      <c r="I12" s="105">
        <f>'Gửi thư'!F6</f>
        <v>6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5">
      <c r="A13" s="96"/>
      <c r="B13" s="102">
        <v>3</v>
      </c>
      <c r="C13" s="103" t="str">
        <f>'Gửi thư lỗi'!B2</f>
        <v>SendNegative</v>
      </c>
      <c r="D13" s="104">
        <f>'Gửi thư lỗi'!A6</f>
        <v>3</v>
      </c>
      <c r="E13" s="104">
        <f>'Gửi thư lỗi'!B6</f>
        <v>0</v>
      </c>
      <c r="F13" s="104">
        <f>'Gửi thư lỗi'!C6</f>
        <v>7</v>
      </c>
      <c r="G13" s="104">
        <f>'Gửi thư lỗi'!D6</f>
        <v>0</v>
      </c>
      <c r="H13" s="104">
        <f>'Gửi thư lỗi'!E6</f>
        <v>0</v>
      </c>
      <c r="I13" s="105">
        <f>'Gửi thư lỗi'!F6</f>
        <v>10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5">
      <c r="A14" s="96"/>
      <c r="B14" s="102">
        <v>4</v>
      </c>
      <c r="C14" s="103" t="str">
        <f>'Đính kèm và định dạng'!B2</f>
        <v>Attachment</v>
      </c>
      <c r="D14" s="104">
        <f>'Đính kèm và định dạng'!A6</f>
        <v>0</v>
      </c>
      <c r="E14" s="104">
        <f>'Đính kèm và định dạng'!B6</f>
        <v>0</v>
      </c>
      <c r="F14" s="104">
        <f>'Đính kèm và định dạng'!C6</f>
        <v>16</v>
      </c>
      <c r="G14" s="104">
        <f>'Đính kèm và định dạng'!D6</f>
        <v>0</v>
      </c>
      <c r="H14" s="104">
        <f>'Đính kèm và định dạng'!E6</f>
        <v>0</v>
      </c>
      <c r="I14" s="105">
        <f>'Đính kèm và định dạng'!F6</f>
        <v>16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5">
      <c r="A15" s="96"/>
      <c r="B15" s="102">
        <v>5</v>
      </c>
      <c r="C15" s="103" t="str">
        <f>'Thư nháp'!B2</f>
        <v>Drafts</v>
      </c>
      <c r="D15" s="104">
        <f>'Thư nháp'!A6</f>
        <v>0</v>
      </c>
      <c r="E15" s="104">
        <f>'Thư nháp'!B6</f>
        <v>0</v>
      </c>
      <c r="F15" s="104">
        <f>'Thư nháp'!C6</f>
        <v>8</v>
      </c>
      <c r="G15" s="104">
        <f>'Thư nháp'!D6</f>
        <v>0</v>
      </c>
      <c r="H15" s="104">
        <f>'Thư nháp'!E6</f>
        <v>0</v>
      </c>
      <c r="I15" s="105">
        <f>'Thư nháp'!F6</f>
        <v>8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5">
      <c r="A16" s="7"/>
      <c r="B16" s="106"/>
      <c r="C16" s="7"/>
      <c r="D16" s="107"/>
      <c r="E16" s="108"/>
      <c r="F16" s="108"/>
      <c r="G16" s="108"/>
      <c r="H16" s="108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5">
      <c r="A17" s="96"/>
      <c r="B17" s="109"/>
      <c r="C17" s="110" t="s">
        <v>249</v>
      </c>
      <c r="D17" s="111">
        <f t="shared" ref="D17:I17" si="0">SUM(D9:D16)</f>
        <v>10</v>
      </c>
      <c r="E17" s="111">
        <f t="shared" si="0"/>
        <v>0</v>
      </c>
      <c r="F17" s="111">
        <f t="shared" si="0"/>
        <v>36</v>
      </c>
      <c r="G17" s="111">
        <f t="shared" si="0"/>
        <v>0</v>
      </c>
      <c r="H17" s="112">
        <f t="shared" si="0"/>
        <v>0</v>
      </c>
      <c r="I17" s="113">
        <f t="shared" si="0"/>
        <v>46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5">
      <c r="A18" s="7"/>
      <c r="B18" s="7"/>
      <c r="C18" s="5"/>
      <c r="D18" s="7"/>
      <c r="E18" s="114"/>
      <c r="F18" s="7"/>
      <c r="G18" s="7"/>
      <c r="H18" s="78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5">
      <c r="A19" s="7"/>
      <c r="B19" s="7"/>
      <c r="C19" s="5" t="s">
        <v>250</v>
      </c>
      <c r="D19" s="7"/>
      <c r="E19" s="114">
        <f>IFERROR((D17+E17)*100/(I17-H17-G17),0)</f>
        <v>21.739130434782609</v>
      </c>
      <c r="F19" s="7" t="s">
        <v>251</v>
      </c>
      <c r="G19" s="7"/>
      <c r="H19" s="78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5">
      <c r="A20" s="7"/>
      <c r="B20" s="7"/>
      <c r="C20" s="5" t="s">
        <v>252</v>
      </c>
      <c r="D20" s="7"/>
      <c r="E20" s="114">
        <f>IFERROR(D17*100/(D17+E17),0)</f>
        <v>100</v>
      </c>
      <c r="F20" s="7" t="s">
        <v>251</v>
      </c>
      <c r="G20" s="7"/>
      <c r="H20" s="78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"/>
  <pageSetup orientation="landscape" horizontalDpi="300" verticalDpi="300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Cover</vt:lpstr>
      <vt:lpstr>Test case List</vt:lpstr>
      <vt:lpstr>TestDesign</vt:lpstr>
      <vt:lpstr>Khung soạn thư</vt:lpstr>
      <vt:lpstr>Gửi thư</vt:lpstr>
      <vt:lpstr>Gửi thư lỗi</vt:lpstr>
      <vt:lpstr>Đính kèm và định dạng</vt:lpstr>
      <vt:lpstr>Thư nháp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DangKhoa</cp:lastModifiedBy>
  <cp:revision>0</cp:revision>
  <dcterms:created xsi:type="dcterms:W3CDTF">2014-07-14T08:56:24Z</dcterms:created>
  <dcterms:modified xsi:type="dcterms:W3CDTF">2026-10-30T04:21:54Z</dcterms:modified>
  <dc:language>en-US</dc:language>
</cp:coreProperties>
</file>