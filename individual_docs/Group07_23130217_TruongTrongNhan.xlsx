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900" windowWidth="14400" windowHeight="8170" tabRatio="500" firstSheet="3" activeTab="6" autoFilterDateGrouping="1"/>
  </bookViews>
  <sheets>
    <sheet name="Cover" sheetId="1" state="visible" r:id="rId1"/>
    <sheet name="Test case List" sheetId="2" state="visible" r:id="rId2"/>
    <sheet name="TestDesign" sheetId="3" state="visible" r:id="rId3"/>
    <sheet name="Search Mail" sheetId="4" state="visible" r:id="rId4"/>
    <sheet name="Reply" sheetId="5" state="visible" r:id="rId5"/>
    <sheet name="Reply All" sheetId="6" state="visible" r:id="rId6"/>
    <sheet name="Forward" sheetId="7" state="visible" r:id="rId7"/>
    <sheet name="Manage Labels" sheetId="8" state="visible" r:id="rId8"/>
    <sheet name="Test Report" sheetId="9" state="visible" r:id="rId9"/>
  </sheets>
  <definedNames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  <definedName name="_Toc301930468" localSheetId="2">TestDesign!$B$219</definedName>
    <definedName name="_Toc301930478" localSheetId="2">TestDesign!$B$379</definedName>
    <definedName name="_xlnm._FilterDatabase" localSheetId="2" hidden="1">'TestDesign'!$A$1:$F$870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[$-409]dd\-mmm\-yy"/>
  </numFmts>
  <fonts count="22">
    <font>
      <name val="Calibri"/>
      <charset val="1"/>
      <color rgb="FF000000"/>
      <sz val="11"/>
    </font>
    <font>
      <name val="Tahoma"/>
      <charset val="1"/>
      <color theme="1"/>
      <sz val="10"/>
    </font>
    <font>
      <name val="Tahoma"/>
      <charset val="1"/>
      <b val="1"/>
      <color rgb="FFFF0000"/>
      <sz val="22"/>
    </font>
    <font>
      <name val="Tahoma"/>
      <charset val="1"/>
      <b val="1"/>
      <color rgb="FF000000"/>
      <sz val="20"/>
    </font>
    <font>
      <name val="Tahoma"/>
      <charset val="1"/>
      <b val="1"/>
      <color rgb="FF993300"/>
      <sz val="10"/>
    </font>
    <font>
      <name val="Tahoma"/>
      <charset val="1"/>
      <i val="1"/>
      <color rgb="FF008000"/>
      <sz val="10"/>
    </font>
    <font>
      <name val="Tahoma"/>
      <charset val="1"/>
      <b val="1"/>
      <color rgb="FFFFFFFF"/>
      <sz val="10"/>
    </font>
    <font>
      <name val="Tahoma"/>
      <charset val="1"/>
      <b val="1"/>
      <color rgb="FF000000"/>
      <sz val="10"/>
    </font>
    <font>
      <name val="Tahoma"/>
      <charset val="1"/>
      <b val="1"/>
      <color rgb="FFFF0000"/>
      <sz val="10"/>
    </font>
    <font>
      <name val="Tahoma"/>
      <charset val="1"/>
      <b val="1"/>
      <color theme="1"/>
      <sz val="10"/>
    </font>
    <font>
      <name val="MS PGothic"/>
      <charset val="1"/>
      <color rgb="FF0000FF"/>
      <sz val="11"/>
      <u val="single"/>
    </font>
    <font>
      <name val="Tahoma"/>
      <charset val="1"/>
      <color rgb="FF0000FF"/>
      <sz val="10"/>
      <u val="single"/>
    </font>
    <font>
      <name val="Arial"/>
      <charset val="1"/>
      <b val="1"/>
      <color theme="1"/>
      <sz val="10"/>
    </font>
    <font>
      <name val="Calibri"/>
      <charset val="1"/>
      <b val="1"/>
      <color theme="1"/>
      <sz val="10"/>
    </font>
    <font>
      <name val="Arial"/>
      <charset val="1"/>
      <color theme="1"/>
      <sz val="10"/>
    </font>
    <font>
      <name val="Calibri"/>
      <charset val="1"/>
      <color theme="1"/>
      <sz val="10"/>
    </font>
    <font>
      <name val="Arial"/>
      <charset val="1"/>
      <color rgb="FF000000"/>
      <sz val="10"/>
    </font>
    <font>
      <name val="Tahoma"/>
      <charset val="1"/>
      <color rgb="FF000000"/>
      <sz val="10"/>
    </font>
    <font>
      <name val="Tahoma"/>
      <charset val="1"/>
      <color rgb="FFFF0000"/>
      <sz val="10"/>
    </font>
    <font>
      <name val="Tahoma"/>
      <charset val="1"/>
      <color rgb="FFFFFFFF"/>
      <sz val="10"/>
    </font>
    <font>
      <name val="Tahoma"/>
      <charset val="1"/>
      <b val="1"/>
      <color rgb="FF0000FF"/>
      <sz val="10"/>
    </font>
    <font>
      <name val="Tahoma"/>
      <family val="2"/>
      <i val="1"/>
      <color rgb="FF008000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2" borderId="0" pivotButton="0" quotePrefix="0" xfId="0"/>
    <xf numFmtId="0" fontId="1" fillId="0" borderId="2" pivotButton="0" quotePrefix="0" xfId="0"/>
    <xf numFmtId="164" fontId="5" fillId="0" borderId="2" applyAlignment="1" pivotButton="0" quotePrefix="0" xfId="0">
      <alignment horizontal="left"/>
    </xf>
    <xf numFmtId="0" fontId="4" fillId="2" borderId="0" pivotButton="0" quotePrefix="0" xfId="0"/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15" fontId="6" fillId="3" borderId="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14" fontId="5" fillId="0" borderId="6" applyAlignment="1" pivotButton="0" quotePrefix="0" xfId="0">
      <alignment vertical="top" wrapText="1"/>
    </xf>
    <xf numFmtId="49" fontId="1" fillId="0" borderId="7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5" fillId="0" borderId="8" applyAlignment="1" pivotButton="0" quotePrefix="0" xfId="0">
      <alignment vertical="top" wrapText="1"/>
    </xf>
    <xf numFmtId="15" fontId="1" fillId="0" borderId="6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15" fontId="1" fillId="0" borderId="9" applyAlignment="1" pivotButton="0" quotePrefix="0" xfId="0">
      <alignment vertical="top"/>
    </xf>
    <xf numFmtId="49" fontId="1" fillId="0" borderId="10" applyAlignment="1" pivotButton="0" quotePrefix="0" xfId="0">
      <alignment vertical="top"/>
    </xf>
    <xf numFmtId="0" fontId="1" fillId="0" borderId="10" applyAlignment="1" pivotButton="0" quotePrefix="0" xfId="0">
      <alignment vertical="top"/>
    </xf>
    <xf numFmtId="0" fontId="1" fillId="0" borderId="11" applyAlignment="1" pivotButton="0" quotePrefix="0" xfId="0">
      <alignment vertical="top"/>
    </xf>
    <xf numFmtId="1" fontId="1" fillId="2" borderId="0" pivotButton="0" quotePrefix="0" xfId="0"/>
    <xf numFmtId="0" fontId="1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1" fillId="2" borderId="0" applyAlignment="1" pivotButton="0" quotePrefix="0" xfId="0">
      <alignment wrapText="1"/>
    </xf>
    <xf numFmtId="1" fontId="4" fillId="2" borderId="0" pivotButton="0" quotePrefix="0" xfId="0"/>
    <xf numFmtId="0" fontId="1" fillId="2" borderId="0" applyAlignment="1" pivotButton="0" quotePrefix="0" xfId="0">
      <alignment vertical="center"/>
    </xf>
    <xf numFmtId="1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/>
    </xf>
    <xf numFmtId="1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1" fontId="1" fillId="2" borderId="6" applyAlignment="1" pivotButton="0" quotePrefix="0" xfId="0">
      <alignment vertical="top" wrapText="1"/>
    </xf>
    <xf numFmtId="49" fontId="1" fillId="2" borderId="7" applyAlignment="1" pivotButton="0" quotePrefix="0" xfId="0">
      <alignment vertical="top" wrapText="1"/>
    </xf>
    <xf numFmtId="0" fontId="10" fillId="2" borderId="7" applyAlignment="1" pivotButton="0" quotePrefix="0" xfId="0">
      <alignment vertical="top" wrapText="1"/>
    </xf>
    <xf numFmtId="0" fontId="11" fillId="2" borderId="7" applyAlignment="1" pivotButton="0" quotePrefix="0" xfId="0">
      <alignment vertical="top" wrapText="1"/>
    </xf>
    <xf numFmtId="0" fontId="1" fillId="2" borderId="8" applyAlignment="1" pivotButton="0" quotePrefix="0" xfId="0">
      <alignment vertical="top" wrapText="1"/>
    </xf>
    <xf numFmtId="1" fontId="1" fillId="2" borderId="6" applyAlignment="1" pivotButton="0" quotePrefix="0" xfId="0">
      <alignment vertical="center"/>
    </xf>
    <xf numFmtId="49" fontId="1" fillId="2" borderId="7" applyAlignment="1" pivotButton="0" quotePrefix="0" xfId="0">
      <alignment horizontal="left" vertical="center"/>
    </xf>
    <xf numFmtId="0" fontId="11" fillId="2" borderId="7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2" borderId="7" applyAlignment="1" pivotButton="0" quotePrefix="0" xfId="0">
      <alignment horizontal="left" vertical="center"/>
    </xf>
    <xf numFmtId="1" fontId="1" fillId="2" borderId="9" applyAlignment="1" pivotButton="0" quotePrefix="0" xfId="0">
      <alignment vertical="center"/>
    </xf>
    <xf numFmtId="49" fontId="1" fillId="2" borderId="10" applyAlignment="1" pivotButton="0" quotePrefix="0" xfId="0">
      <alignment horizontal="left" vertical="center"/>
    </xf>
    <xf numFmtId="0" fontId="1" fillId="2" borderId="10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2" fillId="5" borderId="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4" applyAlignment="1" pivotButton="0" quotePrefix="0" xfId="0">
      <alignment horizontal="left" vertical="center" wrapText="1"/>
    </xf>
    <xf numFmtId="0" fontId="14" fillId="0" borderId="7" applyAlignment="1" pivotButton="0" quotePrefix="0" xfId="0">
      <alignment vertical="center" wrapText="1"/>
    </xf>
    <xf numFmtId="0" fontId="14" fillId="0" borderId="7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/>
    </xf>
    <xf numFmtId="0" fontId="14" fillId="0" borderId="15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4" fillId="0" borderId="14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17" fillId="2" borderId="17" pivotButton="0" quotePrefix="0" xfId="0"/>
    <xf numFmtId="0" fontId="17" fillId="2" borderId="17" applyAlignment="1" pivotButton="0" quotePrefix="0" xfId="0">
      <alignment wrapText="1"/>
    </xf>
    <xf numFmtId="0" fontId="1" fillId="2" borderId="17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18" fillId="2" borderId="0" applyAlignment="1" pivotButton="0" quotePrefix="0" xfId="0">
      <alignment wrapText="1"/>
    </xf>
    <xf numFmtId="0" fontId="17" fillId="2" borderId="0" pivotButton="0" quotePrefix="0" xfId="0"/>
    <xf numFmtId="0" fontId="9" fillId="2" borderId="18" applyAlignment="1" pivotButton="0" quotePrefix="0" xfId="0">
      <alignment horizontal="left" wrapText="1"/>
    </xf>
    <xf numFmtId="0" fontId="9" fillId="2" borderId="19" applyAlignment="1" pivotButton="0" quotePrefix="0" xfId="0">
      <alignment horizontal="left" wrapText="1"/>
    </xf>
    <xf numFmtId="0" fontId="7" fillId="2" borderId="19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18" fillId="2" borderId="0" applyAlignment="1" pivotButton="0" quotePrefix="0" xfId="0">
      <alignment horizontal="center" wrapText="1"/>
    </xf>
    <xf numFmtId="0" fontId="17" fillId="2" borderId="2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vertical="center" wrapText="1"/>
    </xf>
    <xf numFmtId="0" fontId="17" fillId="2" borderId="0" applyAlignment="1" pivotButton="0" quotePrefix="0" xfId="0">
      <alignment horizont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14" fontId="1" fillId="2" borderId="1" applyAlignment="1" pivotButton="0" quotePrefix="0" xfId="0">
      <alignment vertical="top" wrapText="1"/>
    </xf>
    <xf numFmtId="0" fontId="17" fillId="2" borderId="1" applyAlignment="1" pivotButton="0" quotePrefix="0" xfId="0">
      <alignment vertical="top" wrapText="1"/>
    </xf>
    <xf numFmtId="0" fontId="18" fillId="2" borderId="0" applyAlignment="1" pivotButton="0" quotePrefix="0" xfId="0">
      <alignment vertical="top" wrapText="1"/>
    </xf>
    <xf numFmtId="0" fontId="17" fillId="2" borderId="0" applyAlignment="1" pivotButton="0" quotePrefix="0" xfId="0">
      <alignment vertical="top"/>
    </xf>
    <xf numFmtId="0" fontId="8" fillId="2" borderId="0" applyAlignment="1" pivotButton="0" quotePrefix="0" xfId="0">
      <alignment horizontal="left" vertical="center"/>
    </xf>
    <xf numFmtId="0" fontId="18" fillId="2" borderId="0" pivotButton="0" quotePrefix="0" xfId="0"/>
    <xf numFmtId="0" fontId="9" fillId="2" borderId="0" pivotButton="0" quotePrefix="0" xfId="0"/>
    <xf numFmtId="15" fontId="1" fillId="2" borderId="0" pivotButton="0" quotePrefix="0" xfId="0"/>
    <xf numFmtId="0" fontId="4" fillId="2" borderId="2" applyAlignment="1" pivotButton="0" quotePrefix="0" xfId="0">
      <alignment horizontal="left"/>
    </xf>
    <xf numFmtId="0" fontId="1" fillId="2" borderId="2" applyAlignment="1" pivotButton="0" quotePrefix="0" xfId="0">
      <alignment vertical="top"/>
    </xf>
    <xf numFmtId="0" fontId="4" fillId="2" borderId="1" applyAlignment="1" pivotButton="0" quotePrefix="0" xfId="0">
      <alignment vertical="center"/>
    </xf>
    <xf numFmtId="14" fontId="4" fillId="2" borderId="2" applyAlignment="1" pivotButton="0" quotePrefix="0" xfId="0">
      <alignment horizontal="left"/>
    </xf>
    <xf numFmtId="0" fontId="5" fillId="2" borderId="2" applyAlignment="1" pivotButton="0" quotePrefix="0" xfId="0">
      <alignment vertical="top"/>
    </xf>
    <xf numFmtId="0" fontId="5" fillId="2" borderId="0" pivotButton="0" quotePrefix="0" xfId="0"/>
    <xf numFmtId="0" fontId="1" fillId="2" borderId="22" pivotButton="0" quotePrefix="0" xfId="0"/>
    <xf numFmtId="0" fontId="6" fillId="3" borderId="23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3" borderId="4" applyAlignment="1" pivotButton="0" quotePrefix="0" xfId="0">
      <alignment horizontal="center" wrapText="1"/>
    </xf>
    <xf numFmtId="0" fontId="6" fillId="3" borderId="13" applyAlignment="1" pivotButton="0" quotePrefix="0" xfId="0">
      <alignment horizontal="center"/>
    </xf>
    <xf numFmtId="0" fontId="6" fillId="3" borderId="24" applyAlignment="1" pivotButton="0" quotePrefix="0" xfId="0">
      <alignment horizontal="center" wrapText="1"/>
    </xf>
    <xf numFmtId="0" fontId="1" fillId="2" borderId="25" applyAlignment="1" pivotButton="0" quotePrefix="0" xfId="0">
      <alignment horizontal="center"/>
    </xf>
    <xf numFmtId="0" fontId="1" fillId="2" borderId="7" pivotButton="0" quotePrefix="0" xfId="0"/>
    <xf numFmtId="0" fontId="1" fillId="2" borderId="7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9" fillId="3" borderId="28" applyAlignment="1" pivotButton="0" quotePrefix="0" xfId="0">
      <alignment horizontal="center"/>
    </xf>
    <xf numFmtId="0" fontId="6" fillId="3" borderId="10" pivotButton="0" quotePrefix="0" xfId="0"/>
    <xf numFmtId="0" fontId="19" fillId="3" borderId="10" applyAlignment="1" pivotButton="0" quotePrefix="0" xfId="0">
      <alignment horizontal="center"/>
    </xf>
    <xf numFmtId="0" fontId="19" fillId="3" borderId="29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0" fontId="1" fillId="2" borderId="0" applyAlignment="1" pivotButton="0" quotePrefix="0" xfId="0">
      <alignment horizontal="center"/>
    </xf>
    <xf numFmtId="9" fontId="1" fillId="2" borderId="0" applyAlignment="1" pivotButton="0" quotePrefix="0" xfId="0">
      <alignment horizontal="center"/>
    </xf>
    <xf numFmtId="2" fontId="20" fillId="2" borderId="0" applyAlignment="1" pivotButton="0" quotePrefix="0" xfId="0">
      <alignment horizontal="right" wrapText="1"/>
    </xf>
    <xf numFmtId="0" fontId="4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/>
    </xf>
    <xf numFmtId="49" fontId="21" fillId="0" borderId="2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5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left" vertical="center"/>
    </xf>
    <xf numFmtId="0" fontId="0" fillId="0" borderId="33" pivotButton="0" quotePrefix="0" xfId="0"/>
    <xf numFmtId="0" fontId="5" fillId="2" borderId="1" applyAlignment="1" pivotButton="0" quotePrefix="0" xfId="0">
      <alignment vertical="top" wrapText="1"/>
    </xf>
    <xf numFmtId="1" fontId="4" fillId="2" borderId="12" pivotButton="0" quotePrefix="0" xfId="0"/>
    <xf numFmtId="1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left"/>
    </xf>
    <xf numFmtId="0" fontId="1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Unknown Author</author>
  </authors>
  <commentList>
    <comment ref="E11" authorId="0" shapeId="0">
      <text>
        <t>======
ID#AAAAHWfBFzA
    (2020-11-28 06:09:48)
*A: Add
  M: Modify
  D: Delete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8" authorId="0" shapeId="0">
      <text>
        <t>======
ID#AAAAHWfBFzM
    (2020-11-28 06:09:48)
Pass
Fail
Untested
N/A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8" authorId="0" shapeId="0">
      <text>
        <t>======
ID#AAAAHWfBFzM
    (2020-11-28 06:09:48)
Pass
Fail
Untested
N/A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F8" authorId="0" shapeId="0">
      <text>
        <t>======
ID#AAAAHWfBFzM
    (2020-11-28 06:09:48)
Pass
Fail
Untested
N/A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F8" authorId="0" shapeId="0">
      <text>
        <t>======
ID#AAAAHWfBFzM
    (2020-11-28 06:09:48)
Pass
Fail
Untested
N/A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F8" authorId="0" shapeId="0">
      <text>
        <t>======
ID#AAAAHWfBFzM
    (2020-11-28 06:09:48)
Pass
Fail
Untested
N/A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zoomScaleNormal="100" workbookViewId="0">
      <selection activeCell="F8" sqref="F8"/>
    </sheetView>
  </sheetViews>
  <sheetFormatPr baseColWidth="8" defaultColWidth="14.453125" defaultRowHeight="14.5"/>
  <cols>
    <col width="2.54296875" customWidth="1" style="150" min="1" max="1"/>
    <col width="22.453125" customWidth="1" style="150" min="2" max="2"/>
    <col width="10.54296875" customWidth="1" style="150" min="3" max="3"/>
    <col width="16.54296875" customWidth="1" style="150" min="4" max="4"/>
    <col width="9.1796875" customWidth="1" style="150" min="5" max="5"/>
    <col width="35.54296875" customWidth="1" style="150" min="6" max="6"/>
    <col width="35.453125" customWidth="1" style="150" min="7" max="7"/>
    <col width="9.1796875" customWidth="1" style="150" min="8" max="26"/>
  </cols>
  <sheetData>
    <row r="1" ht="12.75" customHeight="1" s="150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5.75" customHeight="1" s="150">
      <c r="A2" s="3" t="n"/>
      <c r="B2" s="129" t="inlineStr">
        <is>
          <t>TEST CASE</t>
        </is>
      </c>
      <c r="C2" s="130" t="n"/>
      <c r="D2" s="130" t="n"/>
      <c r="E2" s="130" t="n"/>
      <c r="F2" s="130" t="n"/>
      <c r="G2" s="131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150">
      <c r="A3" s="1" t="n"/>
      <c r="B3" s="5" t="n"/>
      <c r="C3" s="6" t="n"/>
      <c r="D3" s="1" t="n"/>
      <c r="E3" s="1" t="n"/>
      <c r="F3" s="7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150">
      <c r="A4" s="1" t="n"/>
      <c r="B4" s="148" t="inlineStr">
        <is>
          <t>Project Name</t>
        </is>
      </c>
      <c r="C4" s="138" t="inlineStr">
        <is>
          <t>Kiểm thử hệ thống Webmail Gmail</t>
        </is>
      </c>
      <c r="D4" s="130" t="n"/>
      <c r="E4" s="131" t="n"/>
      <c r="F4" s="148" t="inlineStr">
        <is>
          <t>Creator</t>
        </is>
      </c>
      <c r="G4" s="8" t="inlineStr">
        <is>
          <t>Trương Trọng Nhân - 23130217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150">
      <c r="A5" s="1" t="n"/>
      <c r="B5" s="148" t="inlineStr">
        <is>
          <t>Project Code</t>
        </is>
      </c>
      <c r="C5" s="138" t="inlineStr">
        <is>
          <t>GMAIL</t>
        </is>
      </c>
      <c r="D5" s="130" t="n"/>
      <c r="E5" s="131" t="n"/>
      <c r="F5" s="148" t="inlineStr">
        <is>
          <t>Reviewer/Approver</t>
        </is>
      </c>
      <c r="G5" s="8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50">
      <c r="A6" s="1" t="n"/>
      <c r="B6" s="139" t="inlineStr">
        <is>
          <t>Document Code</t>
        </is>
      </c>
      <c r="C6" s="132">
        <f>C5&amp;"_TestCase_V1.0"</f>
        <v/>
      </c>
      <c r="D6" s="133" t="n"/>
      <c r="E6" s="134" t="n"/>
      <c r="F6" s="148" t="inlineStr">
        <is>
          <t>Issue Date</t>
        </is>
      </c>
      <c r="G6" s="9" t="n">
        <v>46312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50">
      <c r="A7" s="1" t="n"/>
      <c r="B7" s="140" t="n"/>
      <c r="C7" s="135" t="n"/>
      <c r="D7" s="136" t="n"/>
      <c r="E7" s="137" t="n"/>
      <c r="F7" s="148" t="inlineStr">
        <is>
          <t>Version</t>
        </is>
      </c>
      <c r="G7" s="128" t="inlineStr">
        <is>
          <t>1.0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 s="150">
      <c r="A8" s="1" t="n"/>
      <c r="B8" s="10" t="n"/>
      <c r="C8" s="6" t="n"/>
      <c r="D8" s="1" t="n"/>
      <c r="E8" s="1" t="n"/>
      <c r="F8" s="5" t="n"/>
      <c r="G8" s="6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 s="150">
      <c r="A9" s="1" t="n"/>
      <c r="B9" s="2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 s="150">
      <c r="A10" s="1" t="n"/>
      <c r="B10" s="11" t="inlineStr">
        <is>
          <t>Record of change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 s="150">
      <c r="A11" s="12" t="n"/>
      <c r="B11" s="13" t="inlineStr">
        <is>
          <t>Effective Date</t>
        </is>
      </c>
      <c r="C11" s="14" t="inlineStr">
        <is>
          <t>Version</t>
        </is>
      </c>
      <c r="D11" s="14" t="inlineStr">
        <is>
          <t>Change Item</t>
        </is>
      </c>
      <c r="E11" s="14" t="inlineStr">
        <is>
          <t>*A,D,M</t>
        </is>
      </c>
      <c r="F11" s="14" t="inlineStr">
        <is>
          <t>Change description</t>
        </is>
      </c>
      <c r="G11" s="15" t="inlineStr">
        <is>
          <t>Reference</t>
        </is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25.5" customHeight="1" s="150">
      <c r="A12" s="16" t="n"/>
      <c r="B12" s="17" t="n">
        <v>46312</v>
      </c>
      <c r="C12" s="18" t="inlineStr">
        <is>
          <t>1.0</t>
        </is>
      </c>
      <c r="D12" s="16" t="inlineStr">
        <is>
          <t>TestDesign, Search Mail, Reply, Reply All, Forward, Manage Labels</t>
        </is>
      </c>
      <c r="E12" s="19" t="inlineStr">
        <is>
          <t>A</t>
        </is>
      </c>
      <c r="F12" s="19" t="inlineStr">
        <is>
          <t>Thiết kế Test Design và Test Case chi tiết cho 3 chức năng của Thành viên 3: Tìm kiếm thư (Search Mail - 30 TC), Trả lời &amp; Chuyển tiếp (Reply-Forward - 23 TC) và Quản lý Nhãn (Manage Labels - 27 TC). Tổng cộng: 80 Test Cases.</t>
        </is>
      </c>
      <c r="G12" s="20" t="inlineStr">
        <is>
          <t>Ứng dụng Web Gmail (mail.google.com)</t>
        </is>
      </c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 ht="21.75" customHeight="1" s="150">
      <c r="A13" s="16" t="n"/>
      <c r="B13" s="21" t="n"/>
      <c r="C13" s="18" t="n"/>
      <c r="D13" s="19" t="n"/>
      <c r="E13" s="19" t="n"/>
      <c r="F13" s="19" t="n"/>
      <c r="G13" s="22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9.5" customHeight="1" s="150">
      <c r="A14" s="16" t="n"/>
      <c r="B14" s="21" t="n"/>
      <c r="C14" s="18" t="n"/>
      <c r="D14" s="19" t="n"/>
      <c r="E14" s="19" t="n"/>
      <c r="F14" s="19" t="n"/>
      <c r="G14" s="22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21.75" customHeight="1" s="150">
      <c r="A15" s="16" t="n"/>
      <c r="B15" s="21" t="n"/>
      <c r="C15" s="18" t="n"/>
      <c r="D15" s="19" t="n"/>
      <c r="E15" s="19" t="n"/>
      <c r="F15" s="19" t="n"/>
      <c r="G15" s="22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19.5" customHeight="1" s="150">
      <c r="A16" s="16" t="n"/>
      <c r="B16" s="21" t="n"/>
      <c r="C16" s="18" t="n"/>
      <c r="D16" s="19" t="n"/>
      <c r="E16" s="19" t="n"/>
      <c r="F16" s="19" t="n"/>
      <c r="G16" s="22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21.75" customHeight="1" s="150">
      <c r="A17" s="16" t="n"/>
      <c r="B17" s="21" t="n"/>
      <c r="C17" s="18" t="n"/>
      <c r="D17" s="19" t="n"/>
      <c r="E17" s="19" t="n"/>
      <c r="F17" s="19" t="n"/>
      <c r="G17" s="22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 ht="19.5" customHeight="1" s="150">
      <c r="A18" s="16" t="n"/>
      <c r="B18" s="23" t="n"/>
      <c r="C18" s="24" t="n"/>
      <c r="D18" s="25" t="n"/>
      <c r="E18" s="25" t="n"/>
      <c r="F18" s="25" t="n"/>
      <c r="G18" s="2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12.75" customHeight="1" s="150">
      <c r="A19" s="1" t="n"/>
      <c r="B19" s="2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 s="150">
      <c r="A20" s="1" t="n"/>
      <c r="B20" s="2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 s="150">
      <c r="A21" s="1" t="n"/>
      <c r="B21" s="2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 s="150">
      <c r="A22" s="1" t="n"/>
      <c r="B22" s="2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 s="150">
      <c r="A23" s="1" t="n"/>
      <c r="B23" s="2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 s="150">
      <c r="A24" s="1" t="n"/>
      <c r="B24" s="2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 s="150">
      <c r="A25" s="1" t="n"/>
      <c r="B25" s="2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 s="150">
      <c r="A26" s="1" t="n"/>
      <c r="B26" s="2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 s="150">
      <c r="A27" s="1" t="n"/>
      <c r="B27" s="2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 s="150">
      <c r="A28" s="1" t="n"/>
      <c r="B28" s="2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 s="150">
      <c r="A29" s="1" t="n"/>
      <c r="B29" s="2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 s="150">
      <c r="A30" s="1" t="n"/>
      <c r="B30" s="2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 s="150">
      <c r="A31" s="1" t="n"/>
      <c r="B31" s="2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 s="150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 s="150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 s="150">
      <c r="A34" s="1" t="n"/>
      <c r="B34" s="2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 s="150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 s="150">
      <c r="A36" s="1" t="n"/>
      <c r="B36" s="2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 s="150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150">
      <c r="A38" s="1" t="n"/>
      <c r="B38" s="2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150">
      <c r="A39" s="1" t="n"/>
      <c r="B39" s="2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 s="150">
      <c r="A40" s="1" t="n"/>
      <c r="B40" s="2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2.75" customHeight="1" s="150">
      <c r="A41" s="1" t="n"/>
      <c r="B41" s="2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2.75" customHeight="1" s="150">
      <c r="A42" s="1" t="n"/>
      <c r="B42" s="2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2.75" customHeight="1" s="150">
      <c r="A43" s="1" t="n"/>
      <c r="B43" s="2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2.75" customHeight="1" s="150">
      <c r="A44" s="1" t="n"/>
      <c r="B44" s="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2.75" customHeight="1" s="150">
      <c r="A45" s="1" t="n"/>
      <c r="B45" s="2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2.75" customHeight="1" s="150">
      <c r="A46" s="1" t="n"/>
      <c r="B46" s="2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2.75" customHeight="1" s="150">
      <c r="A47" s="1" t="n"/>
      <c r="B47" s="2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2.75" customHeight="1" s="150">
      <c r="A48" s="1" t="n"/>
      <c r="B48" s="2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2.75" customHeight="1" s="150">
      <c r="A49" s="1" t="n"/>
      <c r="B49" s="2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2.75" customHeight="1" s="150">
      <c r="A50" s="1" t="n"/>
      <c r="B50" s="2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2.75" customHeight="1" s="150">
      <c r="A51" s="1" t="n"/>
      <c r="B51" s="2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.75" customHeight="1" s="150">
      <c r="A52" s="1" t="n"/>
      <c r="B52" s="2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2.75" customHeight="1" s="150">
      <c r="A53" s="1" t="n"/>
      <c r="B53" s="2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.75" customHeight="1" s="150">
      <c r="A54" s="1" t="n"/>
      <c r="B54" s="2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.75" customHeight="1" s="150">
      <c r="A55" s="1" t="n"/>
      <c r="B55" s="2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.75" customHeight="1" s="150">
      <c r="A56" s="1" t="n"/>
      <c r="B56" s="2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.75" customHeight="1" s="150">
      <c r="A57" s="1" t="n"/>
      <c r="B57" s="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.75" customHeight="1" s="150">
      <c r="A58" s="1" t="n"/>
      <c r="B58" s="2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.75" customHeight="1" s="150">
      <c r="A59" s="1" t="n"/>
      <c r="B59" s="2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.75" customHeight="1" s="150">
      <c r="A60" s="1" t="n"/>
      <c r="B60" s="2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.75" customHeight="1" s="150">
      <c r="A61" s="1" t="n"/>
      <c r="B61" s="2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.75" customHeight="1" s="150">
      <c r="A62" s="1" t="n"/>
      <c r="B62" s="2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.75" customHeight="1" s="150">
      <c r="A63" s="1" t="n"/>
      <c r="B63" s="2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.75" customHeight="1" s="150">
      <c r="A64" s="1" t="n"/>
      <c r="B64" s="2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.75" customHeight="1" s="150">
      <c r="A65" s="1" t="n"/>
      <c r="B65" s="2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2.75" customHeight="1" s="150">
      <c r="A66" s="1" t="n"/>
      <c r="B66" s="2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.75" customHeight="1" s="150">
      <c r="A67" s="1" t="n"/>
      <c r="B67" s="2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2.75" customHeight="1" s="150">
      <c r="A68" s="1" t="n"/>
      <c r="B68" s="2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.75" customHeight="1" s="150">
      <c r="A69" s="1" t="n"/>
      <c r="B69" s="2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2.75" customHeight="1" s="150">
      <c r="A70" s="1" t="n"/>
      <c r="B70" s="2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.75" customHeight="1" s="150">
      <c r="A71" s="1" t="n"/>
      <c r="B71" s="2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2.75" customHeight="1" s="150">
      <c r="A72" s="1" t="n"/>
      <c r="B72" s="2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2.75" customHeight="1" s="150">
      <c r="A73" s="1" t="n"/>
      <c r="B73" s="2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2.75" customHeight="1" s="150">
      <c r="A74" s="1" t="n"/>
      <c r="B74" s="2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2.75" customHeight="1" s="150">
      <c r="A75" s="1" t="n"/>
      <c r="B75" s="2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2.75" customHeight="1" s="150">
      <c r="A76" s="1" t="n"/>
      <c r="B76" s="2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2.75" customHeight="1" s="150">
      <c r="A77" s="1" t="n"/>
      <c r="B77" s="2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2.75" customHeight="1" s="150">
      <c r="A78" s="1" t="n"/>
      <c r="B78" s="2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2.75" customHeight="1" s="150">
      <c r="A79" s="1" t="n"/>
      <c r="B79" s="2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2.75" customHeight="1" s="150">
      <c r="A80" s="1" t="n"/>
      <c r="B80" s="2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.75" customHeight="1" s="150">
      <c r="A81" s="1" t="n"/>
      <c r="B81" s="2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50">
      <c r="A82" s="1" t="n"/>
      <c r="B82" s="2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.75" customHeight="1" s="150">
      <c r="A83" s="1" t="n"/>
      <c r="B83" s="2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.75" customHeight="1" s="150">
      <c r="A84" s="1" t="n"/>
      <c r="B84" s="2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50">
      <c r="A85" s="1" t="n"/>
      <c r="B85" s="2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50">
      <c r="A86" s="1" t="n"/>
      <c r="B86" s="2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50">
      <c r="A87" s="1" t="n"/>
      <c r="B87" s="2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50">
      <c r="A88" s="1" t="n"/>
      <c r="B88" s="2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50">
      <c r="A89" s="1" t="n"/>
      <c r="B89" s="2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50">
      <c r="A90" s="1" t="n"/>
      <c r="B90" s="2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50">
      <c r="A91" s="1" t="n"/>
      <c r="B91" s="2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50">
      <c r="A92" s="1" t="n"/>
      <c r="B92" s="2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50">
      <c r="A93" s="1" t="n"/>
      <c r="B93" s="2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50">
      <c r="A94" s="1" t="n"/>
      <c r="B94" s="2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50">
      <c r="A95" s="1" t="n"/>
      <c r="B95" s="2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50">
      <c r="A96" s="1" t="n"/>
      <c r="B96" s="2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50">
      <c r="A97" s="1" t="n"/>
      <c r="B97" s="2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50">
      <c r="A98" s="1" t="n"/>
      <c r="B98" s="2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50">
      <c r="A99" s="1" t="n"/>
      <c r="B99" s="2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50">
      <c r="A100" s="1" t="n"/>
      <c r="B100" s="2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50">
      <c r="A101" s="1" t="n"/>
      <c r="B101" s="2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50">
      <c r="A102" s="1" t="n"/>
      <c r="B102" s="2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50">
      <c r="A103" s="1" t="n"/>
      <c r="B103" s="2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50">
      <c r="A104" s="1" t="n"/>
      <c r="B104" s="2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50">
      <c r="A105" s="1" t="n"/>
      <c r="B105" s="2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50">
      <c r="A106" s="1" t="n"/>
      <c r="B106" s="2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50">
      <c r="A107" s="1" t="n"/>
      <c r="B107" s="2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50">
      <c r="A108" s="1" t="n"/>
      <c r="B108" s="2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50">
      <c r="A109" s="1" t="n"/>
      <c r="B109" s="2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50">
      <c r="A110" s="1" t="n"/>
      <c r="B110" s="2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50">
      <c r="A111" s="1" t="n"/>
      <c r="B111" s="2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50">
      <c r="A112" s="1" t="n"/>
      <c r="B112" s="2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50">
      <c r="A113" s="1" t="n"/>
      <c r="B113" s="2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50">
      <c r="A114" s="1" t="n"/>
      <c r="B114" s="2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50">
      <c r="A115" s="1" t="n"/>
      <c r="B115" s="2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50">
      <c r="A116" s="1" t="n"/>
      <c r="B116" s="2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50">
      <c r="A117" s="1" t="n"/>
      <c r="B117" s="2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50">
      <c r="A118" s="1" t="n"/>
      <c r="B118" s="2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50">
      <c r="A119" s="1" t="n"/>
      <c r="B119" s="2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50">
      <c r="A120" s="1" t="n"/>
      <c r="B120" s="2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50">
      <c r="A121" s="1" t="n"/>
      <c r="B121" s="2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50">
      <c r="A122" s="1" t="n"/>
      <c r="B122" s="2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50">
      <c r="A123" s="1" t="n"/>
      <c r="B123" s="2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50">
      <c r="A124" s="1" t="n"/>
      <c r="B124" s="2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50">
      <c r="A125" s="1" t="n"/>
      <c r="B125" s="2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50">
      <c r="A126" s="1" t="n"/>
      <c r="B126" s="2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50">
      <c r="A127" s="1" t="n"/>
      <c r="B127" s="2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50">
      <c r="A128" s="1" t="n"/>
      <c r="B128" s="2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50">
      <c r="A129" s="1" t="n"/>
      <c r="B129" s="2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50">
      <c r="A130" s="1" t="n"/>
      <c r="B130" s="2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50">
      <c r="A131" s="1" t="n"/>
      <c r="B131" s="2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50">
      <c r="A132" s="1" t="n"/>
      <c r="B132" s="2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50">
      <c r="A133" s="1" t="n"/>
      <c r="B133" s="2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50">
      <c r="A134" s="1" t="n"/>
      <c r="B134" s="2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50">
      <c r="A135" s="1" t="n"/>
      <c r="B135" s="2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50">
      <c r="A136" s="1" t="n"/>
      <c r="B136" s="2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50">
      <c r="A137" s="1" t="n"/>
      <c r="B137" s="2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50">
      <c r="A138" s="1" t="n"/>
      <c r="B138" s="2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50">
      <c r="A139" s="1" t="n"/>
      <c r="B139" s="2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50">
      <c r="A140" s="1" t="n"/>
      <c r="B140" s="2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50">
      <c r="A141" s="1" t="n"/>
      <c r="B141" s="2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50">
      <c r="A142" s="1" t="n"/>
      <c r="B142" s="2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50">
      <c r="A143" s="1" t="n"/>
      <c r="B143" s="2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50">
      <c r="A144" s="1" t="n"/>
      <c r="B144" s="2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50">
      <c r="A145" s="1" t="n"/>
      <c r="B145" s="2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50">
      <c r="A146" s="1" t="n"/>
      <c r="B146" s="2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50">
      <c r="A147" s="1" t="n"/>
      <c r="B147" s="2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50">
      <c r="A148" s="1" t="n"/>
      <c r="B148" s="2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50">
      <c r="A149" s="1" t="n"/>
      <c r="B149" s="2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50">
      <c r="A150" s="1" t="n"/>
      <c r="B150" s="2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50">
      <c r="A151" s="1" t="n"/>
      <c r="B151" s="2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50">
      <c r="A152" s="1" t="n"/>
      <c r="B152" s="2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50">
      <c r="A153" s="1" t="n"/>
      <c r="B153" s="2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50">
      <c r="A154" s="1" t="n"/>
      <c r="B154" s="2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50">
      <c r="A155" s="1" t="n"/>
      <c r="B155" s="2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50">
      <c r="A156" s="1" t="n"/>
      <c r="B156" s="2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50">
      <c r="A157" s="1" t="n"/>
      <c r="B157" s="2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50">
      <c r="A158" s="1" t="n"/>
      <c r="B158" s="2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50">
      <c r="A159" s="1" t="n"/>
      <c r="B159" s="2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50">
      <c r="A160" s="1" t="n"/>
      <c r="B160" s="2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50">
      <c r="A161" s="1" t="n"/>
      <c r="B161" s="2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50">
      <c r="A162" s="1" t="n"/>
      <c r="B162" s="2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50">
      <c r="A163" s="1" t="n"/>
      <c r="B163" s="2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50">
      <c r="A164" s="1" t="n"/>
      <c r="B164" s="2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50">
      <c r="A165" s="1" t="n"/>
      <c r="B165" s="2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50">
      <c r="A166" s="1" t="n"/>
      <c r="B166" s="2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50">
      <c r="A167" s="1" t="n"/>
      <c r="B167" s="2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50">
      <c r="A168" s="1" t="n"/>
      <c r="B168" s="2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50">
      <c r="A169" s="1" t="n"/>
      <c r="B169" s="2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50">
      <c r="A170" s="1" t="n"/>
      <c r="B170" s="2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50">
      <c r="A171" s="1" t="n"/>
      <c r="B171" s="2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50">
      <c r="A172" s="1" t="n"/>
      <c r="B172" s="2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50">
      <c r="A173" s="1" t="n"/>
      <c r="B173" s="2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50">
      <c r="A174" s="1" t="n"/>
      <c r="B174" s="2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50">
      <c r="A175" s="1" t="n"/>
      <c r="B175" s="2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50">
      <c r="A176" s="1" t="n"/>
      <c r="B176" s="2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50">
      <c r="A177" s="1" t="n"/>
      <c r="B177" s="2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50">
      <c r="A178" s="1" t="n"/>
      <c r="B178" s="2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50">
      <c r="A179" s="1" t="n"/>
      <c r="B179" s="2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50">
      <c r="A180" s="1" t="n"/>
      <c r="B180" s="2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50">
      <c r="A181" s="1" t="n"/>
      <c r="B181" s="2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50">
      <c r="A182" s="1" t="n"/>
      <c r="B182" s="2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50">
      <c r="A183" s="1" t="n"/>
      <c r="B183" s="2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50">
      <c r="A184" s="1" t="n"/>
      <c r="B184" s="2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50">
      <c r="A185" s="1" t="n"/>
      <c r="B185" s="2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50">
      <c r="A186" s="1" t="n"/>
      <c r="B186" s="2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50">
      <c r="A187" s="1" t="n"/>
      <c r="B187" s="2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50">
      <c r="A188" s="1" t="n"/>
      <c r="B188" s="2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50">
      <c r="A189" s="1" t="n"/>
      <c r="B189" s="2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50">
      <c r="A190" s="1" t="n"/>
      <c r="B190" s="2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50">
      <c r="A191" s="1" t="n"/>
      <c r="B191" s="2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50">
      <c r="A192" s="1" t="n"/>
      <c r="B192" s="2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50">
      <c r="A193" s="1" t="n"/>
      <c r="B193" s="2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50">
      <c r="A194" s="1" t="n"/>
      <c r="B194" s="2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50">
      <c r="A195" s="1" t="n"/>
      <c r="B195" s="2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50">
      <c r="A196" s="1" t="n"/>
      <c r="B196" s="2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50">
      <c r="A197" s="1" t="n"/>
      <c r="B197" s="2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50">
      <c r="A198" s="1" t="n"/>
      <c r="B198" s="2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50">
      <c r="A199" s="1" t="n"/>
      <c r="B199" s="2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50">
      <c r="A200" s="1" t="n"/>
      <c r="B200" s="2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50">
      <c r="A201" s="1" t="n"/>
      <c r="B201" s="2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50">
      <c r="A202" s="1" t="n"/>
      <c r="B202" s="2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50">
      <c r="A203" s="1" t="n"/>
      <c r="B203" s="2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50">
      <c r="A204" s="1" t="n"/>
      <c r="B204" s="2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50">
      <c r="A205" s="1" t="n"/>
      <c r="B205" s="2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50">
      <c r="A206" s="1" t="n"/>
      <c r="B206" s="2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50">
      <c r="A207" s="1" t="n"/>
      <c r="B207" s="2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50">
      <c r="A208" s="1" t="n"/>
      <c r="B208" s="2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50">
      <c r="A209" s="1" t="n"/>
      <c r="B209" s="2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50">
      <c r="A210" s="1" t="n"/>
      <c r="B210" s="2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50">
      <c r="A211" s="1" t="n"/>
      <c r="B211" s="2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50">
      <c r="A212" s="1" t="n"/>
      <c r="B212" s="2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50">
      <c r="A213" s="1" t="n"/>
      <c r="B213" s="2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50">
      <c r="A214" s="1" t="n"/>
      <c r="B214" s="2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50">
      <c r="A215" s="1" t="n"/>
      <c r="B215" s="2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50">
      <c r="A216" s="1" t="n"/>
      <c r="B216" s="2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50">
      <c r="A217" s="1" t="n"/>
      <c r="B217" s="2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50">
      <c r="A218" s="1" t="n"/>
      <c r="B218" s="2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50">
      <c r="A219" s="1" t="n"/>
      <c r="B219" s="2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50">
      <c r="A220" s="1" t="n"/>
      <c r="B220" s="2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50">
      <c r="A221" s="1" t="n"/>
      <c r="B221" s="2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50">
      <c r="A222" s="1" t="n"/>
      <c r="B222" s="2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50">
      <c r="A223" s="1" t="n"/>
      <c r="B223" s="2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50">
      <c r="A224" s="1" t="n"/>
      <c r="B224" s="2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50">
      <c r="A225" s="1" t="n"/>
      <c r="B225" s="2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50">
      <c r="A226" s="1" t="n"/>
      <c r="B226" s="2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50">
      <c r="A227" s="1" t="n"/>
      <c r="B227" s="2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50">
      <c r="A228" s="1" t="n"/>
      <c r="B228" s="2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50">
      <c r="A229" s="1" t="n"/>
      <c r="B229" s="2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50">
      <c r="A230" s="1" t="n"/>
      <c r="B230" s="2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50">
      <c r="A231" s="1" t="n"/>
      <c r="B231" s="2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50">
      <c r="A232" s="1" t="n"/>
      <c r="B232" s="2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50">
      <c r="A233" s="1" t="n"/>
      <c r="B233" s="2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50">
      <c r="A234" s="1" t="n"/>
      <c r="B234" s="2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50">
      <c r="A235" s="1" t="n"/>
      <c r="B235" s="2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50">
      <c r="A236" s="1" t="n"/>
      <c r="B236" s="2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50">
      <c r="A237" s="1" t="n"/>
      <c r="B237" s="2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50">
      <c r="A238" s="1" t="n"/>
      <c r="B238" s="2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50">
      <c r="A239" s="1" t="n"/>
      <c r="B239" s="2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50">
      <c r="A240" s="1" t="n"/>
      <c r="B240" s="2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50">
      <c r="A241" s="1" t="n"/>
      <c r="B241" s="2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50">
      <c r="A242" s="1" t="n"/>
      <c r="B242" s="2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50">
      <c r="A243" s="1" t="n"/>
      <c r="B243" s="2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50">
      <c r="A244" s="1" t="n"/>
      <c r="B244" s="2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50">
      <c r="A245" s="1" t="n"/>
      <c r="B245" s="2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50">
      <c r="A246" s="1" t="n"/>
      <c r="B246" s="2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50">
      <c r="A247" s="1" t="n"/>
      <c r="B247" s="2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50">
      <c r="A248" s="1" t="n"/>
      <c r="B248" s="2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50">
      <c r="A249" s="1" t="n"/>
      <c r="B249" s="2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50">
      <c r="A250" s="1" t="n"/>
      <c r="B250" s="2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50">
      <c r="A251" s="1" t="n"/>
      <c r="B251" s="2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50">
      <c r="A252" s="1" t="n"/>
      <c r="B252" s="2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50">
      <c r="A253" s="1" t="n"/>
      <c r="B253" s="2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50">
      <c r="A254" s="1" t="n"/>
      <c r="B254" s="2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50">
      <c r="A255" s="1" t="n"/>
      <c r="B255" s="2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50">
      <c r="A256" s="1" t="n"/>
      <c r="B256" s="2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50">
      <c r="A257" s="1" t="n"/>
      <c r="B257" s="2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50">
      <c r="A258" s="1" t="n"/>
      <c r="B258" s="2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50">
      <c r="A259" s="1" t="n"/>
      <c r="B259" s="2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50">
      <c r="A260" s="1" t="n"/>
      <c r="B260" s="2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50">
      <c r="A261" s="1" t="n"/>
      <c r="B261" s="2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50">
      <c r="A262" s="1" t="n"/>
      <c r="B262" s="2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50">
      <c r="A263" s="1" t="n"/>
      <c r="B263" s="2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50">
      <c r="A264" s="1" t="n"/>
      <c r="B264" s="2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50">
      <c r="A265" s="1" t="n"/>
      <c r="B265" s="2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50">
      <c r="A266" s="1" t="n"/>
      <c r="B266" s="2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50">
      <c r="A267" s="1" t="n"/>
      <c r="B267" s="2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50">
      <c r="A268" s="1" t="n"/>
      <c r="B268" s="2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50">
      <c r="A269" s="1" t="n"/>
      <c r="B269" s="2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50">
      <c r="A270" s="1" t="n"/>
      <c r="B270" s="2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50">
      <c r="A271" s="1" t="n"/>
      <c r="B271" s="2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50">
      <c r="A272" s="1" t="n"/>
      <c r="B272" s="2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50">
      <c r="A273" s="1" t="n"/>
      <c r="B273" s="2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50">
      <c r="A274" s="1" t="n"/>
      <c r="B274" s="2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50">
      <c r="A275" s="1" t="n"/>
      <c r="B275" s="2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50">
      <c r="A276" s="1" t="n"/>
      <c r="B276" s="2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50">
      <c r="A277" s="1" t="n"/>
      <c r="B277" s="2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50">
      <c r="A278" s="1" t="n"/>
      <c r="B278" s="2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50">
      <c r="A279" s="1" t="n"/>
      <c r="B279" s="2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50">
      <c r="A280" s="1" t="n"/>
      <c r="B280" s="2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50">
      <c r="A281" s="1" t="n"/>
      <c r="B281" s="2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50">
      <c r="A282" s="1" t="n"/>
      <c r="B282" s="2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50">
      <c r="A283" s="1" t="n"/>
      <c r="B283" s="2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50">
      <c r="A284" s="1" t="n"/>
      <c r="B284" s="2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50">
      <c r="A285" s="1" t="n"/>
      <c r="B285" s="2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50">
      <c r="A286" s="1" t="n"/>
      <c r="B286" s="2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50">
      <c r="A287" s="1" t="n"/>
      <c r="B287" s="2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50">
      <c r="A288" s="1" t="n"/>
      <c r="B288" s="2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50">
      <c r="A289" s="1" t="n"/>
      <c r="B289" s="2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50">
      <c r="A290" s="1" t="n"/>
      <c r="B290" s="2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50">
      <c r="A291" s="1" t="n"/>
      <c r="B291" s="2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50">
      <c r="A292" s="1" t="n"/>
      <c r="B292" s="2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50">
      <c r="A293" s="1" t="n"/>
      <c r="B293" s="2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50">
      <c r="A294" s="1" t="n"/>
      <c r="B294" s="2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50">
      <c r="A295" s="1" t="n"/>
      <c r="B295" s="2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50">
      <c r="A296" s="1" t="n"/>
      <c r="B296" s="2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50">
      <c r="A297" s="1" t="n"/>
      <c r="B297" s="2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50">
      <c r="A298" s="1" t="n"/>
      <c r="B298" s="2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50">
      <c r="A299" s="1" t="n"/>
      <c r="B299" s="2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50">
      <c r="A300" s="1" t="n"/>
      <c r="B300" s="2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50">
      <c r="A301" s="1" t="n"/>
      <c r="B301" s="2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50">
      <c r="A302" s="1" t="n"/>
      <c r="B302" s="2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50">
      <c r="A303" s="1" t="n"/>
      <c r="B303" s="2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50">
      <c r="A304" s="1" t="n"/>
      <c r="B304" s="2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50">
      <c r="A305" s="1" t="n"/>
      <c r="B305" s="2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50">
      <c r="A306" s="1" t="n"/>
      <c r="B306" s="2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50">
      <c r="A307" s="1" t="n"/>
      <c r="B307" s="2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50">
      <c r="A308" s="1" t="n"/>
      <c r="B308" s="2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50">
      <c r="A309" s="1" t="n"/>
      <c r="B309" s="2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50">
      <c r="A310" s="1" t="n"/>
      <c r="B310" s="2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50">
      <c r="A311" s="1" t="n"/>
      <c r="B311" s="2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50">
      <c r="A312" s="1" t="n"/>
      <c r="B312" s="2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50">
      <c r="A313" s="1" t="n"/>
      <c r="B313" s="2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50">
      <c r="A314" s="1" t="n"/>
      <c r="B314" s="2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50">
      <c r="A315" s="1" t="n"/>
      <c r="B315" s="2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50">
      <c r="A316" s="1" t="n"/>
      <c r="B316" s="2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50">
      <c r="A317" s="1" t="n"/>
      <c r="B317" s="2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50">
      <c r="A318" s="1" t="n"/>
      <c r="B318" s="2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50">
      <c r="A319" s="1" t="n"/>
      <c r="B319" s="2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50">
      <c r="A320" s="1" t="n"/>
      <c r="B320" s="2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50">
      <c r="A321" s="1" t="n"/>
      <c r="B321" s="2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50">
      <c r="A322" s="1" t="n"/>
      <c r="B322" s="2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50">
      <c r="A323" s="1" t="n"/>
      <c r="B323" s="2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50">
      <c r="A324" s="1" t="n"/>
      <c r="B324" s="2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50">
      <c r="A325" s="1" t="n"/>
      <c r="B325" s="2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50">
      <c r="A326" s="1" t="n"/>
      <c r="B326" s="2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50">
      <c r="A327" s="1" t="n"/>
      <c r="B327" s="2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50">
      <c r="A328" s="1" t="n"/>
      <c r="B328" s="2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50">
      <c r="A329" s="1" t="n"/>
      <c r="B329" s="2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50">
      <c r="A330" s="1" t="n"/>
      <c r="B330" s="2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50">
      <c r="A331" s="1" t="n"/>
      <c r="B331" s="2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50">
      <c r="A332" s="1" t="n"/>
      <c r="B332" s="2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50">
      <c r="A333" s="1" t="n"/>
      <c r="B333" s="2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50">
      <c r="A334" s="1" t="n"/>
      <c r="B334" s="2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50">
      <c r="A335" s="1" t="n"/>
      <c r="B335" s="2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50">
      <c r="A336" s="1" t="n"/>
      <c r="B336" s="2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50">
      <c r="A337" s="1" t="n"/>
      <c r="B337" s="2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50">
      <c r="A338" s="1" t="n"/>
      <c r="B338" s="2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50">
      <c r="A339" s="1" t="n"/>
      <c r="B339" s="2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50">
      <c r="A340" s="1" t="n"/>
      <c r="B340" s="2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50">
      <c r="A341" s="1" t="n"/>
      <c r="B341" s="2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50">
      <c r="A342" s="1" t="n"/>
      <c r="B342" s="2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50">
      <c r="A343" s="1" t="n"/>
      <c r="B343" s="2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50">
      <c r="A344" s="1" t="n"/>
      <c r="B344" s="2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50">
      <c r="A345" s="1" t="n"/>
      <c r="B345" s="2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50">
      <c r="A346" s="1" t="n"/>
      <c r="B346" s="2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50">
      <c r="A347" s="1" t="n"/>
      <c r="B347" s="2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50">
      <c r="A348" s="1" t="n"/>
      <c r="B348" s="2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50">
      <c r="A349" s="1" t="n"/>
      <c r="B349" s="2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50">
      <c r="A350" s="1" t="n"/>
      <c r="B350" s="2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50">
      <c r="A351" s="1" t="n"/>
      <c r="B351" s="2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50">
      <c r="A352" s="1" t="n"/>
      <c r="B352" s="2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50">
      <c r="A353" s="1" t="n"/>
      <c r="B353" s="2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50">
      <c r="A354" s="1" t="n"/>
      <c r="B354" s="2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50">
      <c r="A355" s="1" t="n"/>
      <c r="B355" s="2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50">
      <c r="A356" s="1" t="n"/>
      <c r="B356" s="2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50">
      <c r="A357" s="1" t="n"/>
      <c r="B357" s="2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50">
      <c r="A358" s="1" t="n"/>
      <c r="B358" s="2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50">
      <c r="A359" s="1" t="n"/>
      <c r="B359" s="2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50">
      <c r="A360" s="1" t="n"/>
      <c r="B360" s="2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50">
      <c r="A361" s="1" t="n"/>
      <c r="B361" s="2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50">
      <c r="A362" s="1" t="n"/>
      <c r="B362" s="2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50">
      <c r="A363" s="1" t="n"/>
      <c r="B363" s="2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50">
      <c r="A364" s="1" t="n"/>
      <c r="B364" s="2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50">
      <c r="A365" s="1" t="n"/>
      <c r="B365" s="2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50">
      <c r="A366" s="1" t="n"/>
      <c r="B366" s="2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50">
      <c r="A367" s="1" t="n"/>
      <c r="B367" s="2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50">
      <c r="A368" s="1" t="n"/>
      <c r="B368" s="2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50">
      <c r="A369" s="1" t="n"/>
      <c r="B369" s="2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50">
      <c r="A370" s="1" t="n"/>
      <c r="B370" s="2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50">
      <c r="A371" s="1" t="n"/>
      <c r="B371" s="2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50">
      <c r="A372" s="1" t="n"/>
      <c r="B372" s="2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50">
      <c r="A373" s="1" t="n"/>
      <c r="B373" s="2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50">
      <c r="A374" s="1" t="n"/>
      <c r="B374" s="2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50">
      <c r="A375" s="1" t="n"/>
      <c r="B375" s="2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50">
      <c r="A376" s="1" t="n"/>
      <c r="B376" s="2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50">
      <c r="A377" s="1" t="n"/>
      <c r="B377" s="2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50">
      <c r="A378" s="1" t="n"/>
      <c r="B378" s="2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50">
      <c r="A379" s="1" t="n"/>
      <c r="B379" s="2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50">
      <c r="A380" s="1" t="n"/>
      <c r="B380" s="2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50">
      <c r="A381" s="1" t="n"/>
      <c r="B381" s="2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50">
      <c r="A382" s="1" t="n"/>
      <c r="B382" s="2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50">
      <c r="A383" s="1" t="n"/>
      <c r="B383" s="2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50">
      <c r="A384" s="1" t="n"/>
      <c r="B384" s="2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50">
      <c r="A385" s="1" t="n"/>
      <c r="B385" s="2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50">
      <c r="A386" s="1" t="n"/>
      <c r="B386" s="2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50">
      <c r="A387" s="1" t="n"/>
      <c r="B387" s="2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50">
      <c r="A388" s="1" t="n"/>
      <c r="B388" s="2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50">
      <c r="A389" s="1" t="n"/>
      <c r="B389" s="2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50">
      <c r="A390" s="1" t="n"/>
      <c r="B390" s="2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50">
      <c r="A391" s="1" t="n"/>
      <c r="B391" s="2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50">
      <c r="A392" s="1" t="n"/>
      <c r="B392" s="2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50">
      <c r="A393" s="1" t="n"/>
      <c r="B393" s="2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50">
      <c r="A394" s="1" t="n"/>
      <c r="B394" s="2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50">
      <c r="A395" s="1" t="n"/>
      <c r="B395" s="2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50">
      <c r="A396" s="1" t="n"/>
      <c r="B396" s="2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50">
      <c r="A397" s="1" t="n"/>
      <c r="B397" s="2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50">
      <c r="A398" s="1" t="n"/>
      <c r="B398" s="2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50">
      <c r="A399" s="1" t="n"/>
      <c r="B399" s="2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50">
      <c r="A400" s="1" t="n"/>
      <c r="B400" s="2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50">
      <c r="A401" s="1" t="n"/>
      <c r="B401" s="2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50">
      <c r="A402" s="1" t="n"/>
      <c r="B402" s="2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50">
      <c r="A403" s="1" t="n"/>
      <c r="B403" s="2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50">
      <c r="A404" s="1" t="n"/>
      <c r="B404" s="2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50">
      <c r="A405" s="1" t="n"/>
      <c r="B405" s="2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50">
      <c r="A406" s="1" t="n"/>
      <c r="B406" s="2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50">
      <c r="A407" s="1" t="n"/>
      <c r="B407" s="2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50">
      <c r="A408" s="1" t="n"/>
      <c r="B408" s="2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50">
      <c r="A409" s="1" t="n"/>
      <c r="B409" s="2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50">
      <c r="A410" s="1" t="n"/>
      <c r="B410" s="2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50">
      <c r="A411" s="1" t="n"/>
      <c r="B411" s="2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50">
      <c r="A412" s="1" t="n"/>
      <c r="B412" s="2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50">
      <c r="A413" s="1" t="n"/>
      <c r="B413" s="2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50">
      <c r="A414" s="1" t="n"/>
      <c r="B414" s="2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50">
      <c r="A415" s="1" t="n"/>
      <c r="B415" s="2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50">
      <c r="A416" s="1" t="n"/>
      <c r="B416" s="2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50">
      <c r="A417" s="1" t="n"/>
      <c r="B417" s="2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50">
      <c r="A418" s="1" t="n"/>
      <c r="B418" s="2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50">
      <c r="A419" s="1" t="n"/>
      <c r="B419" s="2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50">
      <c r="A420" s="1" t="n"/>
      <c r="B420" s="2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50">
      <c r="A421" s="1" t="n"/>
      <c r="B421" s="2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50">
      <c r="A422" s="1" t="n"/>
      <c r="B422" s="2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50">
      <c r="A423" s="1" t="n"/>
      <c r="B423" s="2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50">
      <c r="A424" s="1" t="n"/>
      <c r="B424" s="2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50">
      <c r="A425" s="1" t="n"/>
      <c r="B425" s="2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50">
      <c r="A426" s="1" t="n"/>
      <c r="B426" s="2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50">
      <c r="A427" s="1" t="n"/>
      <c r="B427" s="2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50">
      <c r="A428" s="1" t="n"/>
      <c r="B428" s="2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50">
      <c r="A429" s="1" t="n"/>
      <c r="B429" s="2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50">
      <c r="A430" s="1" t="n"/>
      <c r="B430" s="2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50">
      <c r="A431" s="1" t="n"/>
      <c r="B431" s="2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50">
      <c r="A432" s="1" t="n"/>
      <c r="B432" s="2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50">
      <c r="A433" s="1" t="n"/>
      <c r="B433" s="2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50">
      <c r="A434" s="1" t="n"/>
      <c r="B434" s="2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50">
      <c r="A435" s="1" t="n"/>
      <c r="B435" s="2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50">
      <c r="A436" s="1" t="n"/>
      <c r="B436" s="2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50">
      <c r="A437" s="1" t="n"/>
      <c r="B437" s="2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50">
      <c r="A438" s="1" t="n"/>
      <c r="B438" s="2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50">
      <c r="A439" s="1" t="n"/>
      <c r="B439" s="2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50">
      <c r="A440" s="1" t="n"/>
      <c r="B440" s="2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50">
      <c r="A441" s="1" t="n"/>
      <c r="B441" s="2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50">
      <c r="A442" s="1" t="n"/>
      <c r="B442" s="2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50">
      <c r="A443" s="1" t="n"/>
      <c r="B443" s="2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50">
      <c r="A444" s="1" t="n"/>
      <c r="B444" s="2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50">
      <c r="A445" s="1" t="n"/>
      <c r="B445" s="2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50">
      <c r="A446" s="1" t="n"/>
      <c r="B446" s="2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50">
      <c r="A447" s="1" t="n"/>
      <c r="B447" s="2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50">
      <c r="A448" s="1" t="n"/>
      <c r="B448" s="2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50">
      <c r="A449" s="1" t="n"/>
      <c r="B449" s="2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50">
      <c r="A450" s="1" t="n"/>
      <c r="B450" s="2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50">
      <c r="A451" s="1" t="n"/>
      <c r="B451" s="2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50">
      <c r="A452" s="1" t="n"/>
      <c r="B452" s="2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50">
      <c r="A453" s="1" t="n"/>
      <c r="B453" s="2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50">
      <c r="A454" s="1" t="n"/>
      <c r="B454" s="2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50">
      <c r="A455" s="1" t="n"/>
      <c r="B455" s="2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50">
      <c r="A456" s="1" t="n"/>
      <c r="B456" s="2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50">
      <c r="A457" s="1" t="n"/>
      <c r="B457" s="2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50">
      <c r="A458" s="1" t="n"/>
      <c r="B458" s="2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50">
      <c r="A459" s="1" t="n"/>
      <c r="B459" s="2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50">
      <c r="A460" s="1" t="n"/>
      <c r="B460" s="2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50">
      <c r="A461" s="1" t="n"/>
      <c r="B461" s="2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50">
      <c r="A462" s="1" t="n"/>
      <c r="B462" s="2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50">
      <c r="A463" s="1" t="n"/>
      <c r="B463" s="2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50">
      <c r="A464" s="1" t="n"/>
      <c r="B464" s="2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50">
      <c r="A465" s="1" t="n"/>
      <c r="B465" s="2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50">
      <c r="A466" s="1" t="n"/>
      <c r="B466" s="2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50">
      <c r="A467" s="1" t="n"/>
      <c r="B467" s="2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50">
      <c r="A468" s="1" t="n"/>
      <c r="B468" s="2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50">
      <c r="A469" s="1" t="n"/>
      <c r="B469" s="2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50">
      <c r="A470" s="1" t="n"/>
      <c r="B470" s="2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50">
      <c r="A471" s="1" t="n"/>
      <c r="B471" s="2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50">
      <c r="A472" s="1" t="n"/>
      <c r="B472" s="2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50">
      <c r="A473" s="1" t="n"/>
      <c r="B473" s="2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50">
      <c r="A474" s="1" t="n"/>
      <c r="B474" s="2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50">
      <c r="A475" s="1" t="n"/>
      <c r="B475" s="2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50">
      <c r="A476" s="1" t="n"/>
      <c r="B476" s="2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50">
      <c r="A477" s="1" t="n"/>
      <c r="B477" s="2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50">
      <c r="A478" s="1" t="n"/>
      <c r="B478" s="2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50">
      <c r="A479" s="1" t="n"/>
      <c r="B479" s="2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50">
      <c r="A480" s="1" t="n"/>
      <c r="B480" s="2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50">
      <c r="A481" s="1" t="n"/>
      <c r="B481" s="2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50">
      <c r="A482" s="1" t="n"/>
      <c r="B482" s="2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50">
      <c r="A483" s="1" t="n"/>
      <c r="B483" s="2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50">
      <c r="A484" s="1" t="n"/>
      <c r="B484" s="2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50">
      <c r="A485" s="1" t="n"/>
      <c r="B485" s="2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50">
      <c r="A486" s="1" t="n"/>
      <c r="B486" s="2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50">
      <c r="A487" s="1" t="n"/>
      <c r="B487" s="2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50">
      <c r="A488" s="1" t="n"/>
      <c r="B488" s="2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50">
      <c r="A489" s="1" t="n"/>
      <c r="B489" s="2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50">
      <c r="A490" s="1" t="n"/>
      <c r="B490" s="2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50">
      <c r="A491" s="1" t="n"/>
      <c r="B491" s="2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50">
      <c r="A492" s="1" t="n"/>
      <c r="B492" s="2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50">
      <c r="A493" s="1" t="n"/>
      <c r="B493" s="2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50">
      <c r="A494" s="1" t="n"/>
      <c r="B494" s="2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50">
      <c r="A495" s="1" t="n"/>
      <c r="B495" s="2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50">
      <c r="A496" s="1" t="n"/>
      <c r="B496" s="2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50">
      <c r="A497" s="1" t="n"/>
      <c r="B497" s="2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50">
      <c r="A498" s="1" t="n"/>
      <c r="B498" s="2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50">
      <c r="A499" s="1" t="n"/>
      <c r="B499" s="2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50">
      <c r="A500" s="1" t="n"/>
      <c r="B500" s="2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50">
      <c r="A501" s="1" t="n"/>
      <c r="B501" s="2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50">
      <c r="A502" s="1" t="n"/>
      <c r="B502" s="2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50">
      <c r="A503" s="1" t="n"/>
      <c r="B503" s="2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50">
      <c r="A504" s="1" t="n"/>
      <c r="B504" s="2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50">
      <c r="A505" s="1" t="n"/>
      <c r="B505" s="2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50">
      <c r="A506" s="1" t="n"/>
      <c r="B506" s="2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50">
      <c r="A507" s="1" t="n"/>
      <c r="B507" s="2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50">
      <c r="A508" s="1" t="n"/>
      <c r="B508" s="2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50">
      <c r="A509" s="1" t="n"/>
      <c r="B509" s="2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50">
      <c r="A510" s="1" t="n"/>
      <c r="B510" s="2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50">
      <c r="A511" s="1" t="n"/>
      <c r="B511" s="2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50">
      <c r="A512" s="1" t="n"/>
      <c r="B512" s="2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50">
      <c r="A513" s="1" t="n"/>
      <c r="B513" s="2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50">
      <c r="A514" s="1" t="n"/>
      <c r="B514" s="2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50">
      <c r="A515" s="1" t="n"/>
      <c r="B515" s="2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50">
      <c r="A516" s="1" t="n"/>
      <c r="B516" s="2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50">
      <c r="A517" s="1" t="n"/>
      <c r="B517" s="2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50">
      <c r="A518" s="1" t="n"/>
      <c r="B518" s="2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50">
      <c r="A519" s="1" t="n"/>
      <c r="B519" s="2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50">
      <c r="A520" s="1" t="n"/>
      <c r="B520" s="2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50">
      <c r="A521" s="1" t="n"/>
      <c r="B521" s="2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50">
      <c r="A522" s="1" t="n"/>
      <c r="B522" s="2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50">
      <c r="A523" s="1" t="n"/>
      <c r="B523" s="2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50">
      <c r="A524" s="1" t="n"/>
      <c r="B524" s="2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50">
      <c r="A525" s="1" t="n"/>
      <c r="B525" s="2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50">
      <c r="A526" s="1" t="n"/>
      <c r="B526" s="2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50">
      <c r="A527" s="1" t="n"/>
      <c r="B527" s="2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50">
      <c r="A528" s="1" t="n"/>
      <c r="B528" s="2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50">
      <c r="A529" s="1" t="n"/>
      <c r="B529" s="2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50">
      <c r="A530" s="1" t="n"/>
      <c r="B530" s="2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50">
      <c r="A531" s="1" t="n"/>
      <c r="B531" s="2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50">
      <c r="A532" s="1" t="n"/>
      <c r="B532" s="2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50">
      <c r="A533" s="1" t="n"/>
      <c r="B533" s="2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50">
      <c r="A534" s="1" t="n"/>
      <c r="B534" s="2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50">
      <c r="A535" s="1" t="n"/>
      <c r="B535" s="2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50">
      <c r="A536" s="1" t="n"/>
      <c r="B536" s="2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50">
      <c r="A537" s="1" t="n"/>
      <c r="B537" s="2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50">
      <c r="A538" s="1" t="n"/>
      <c r="B538" s="2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50">
      <c r="A539" s="1" t="n"/>
      <c r="B539" s="2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50">
      <c r="A540" s="1" t="n"/>
      <c r="B540" s="2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50">
      <c r="A541" s="1" t="n"/>
      <c r="B541" s="2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50">
      <c r="A542" s="1" t="n"/>
      <c r="B542" s="2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50">
      <c r="A543" s="1" t="n"/>
      <c r="B543" s="2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50">
      <c r="A544" s="1" t="n"/>
      <c r="B544" s="2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50">
      <c r="A545" s="1" t="n"/>
      <c r="B545" s="2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50">
      <c r="A546" s="1" t="n"/>
      <c r="B546" s="2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50">
      <c r="A547" s="1" t="n"/>
      <c r="B547" s="2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50">
      <c r="A548" s="1" t="n"/>
      <c r="B548" s="2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50">
      <c r="A549" s="1" t="n"/>
      <c r="B549" s="2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50">
      <c r="A550" s="1" t="n"/>
      <c r="B550" s="2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50">
      <c r="A551" s="1" t="n"/>
      <c r="B551" s="2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50">
      <c r="A552" s="1" t="n"/>
      <c r="B552" s="2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50">
      <c r="A553" s="1" t="n"/>
      <c r="B553" s="2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50">
      <c r="A554" s="1" t="n"/>
      <c r="B554" s="2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50">
      <c r="A555" s="1" t="n"/>
      <c r="B555" s="2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50">
      <c r="A556" s="1" t="n"/>
      <c r="B556" s="2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50">
      <c r="A557" s="1" t="n"/>
      <c r="B557" s="2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50">
      <c r="A558" s="1" t="n"/>
      <c r="B558" s="2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50">
      <c r="A559" s="1" t="n"/>
      <c r="B559" s="2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50">
      <c r="A560" s="1" t="n"/>
      <c r="B560" s="2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50">
      <c r="A561" s="1" t="n"/>
      <c r="B561" s="2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50">
      <c r="A562" s="1" t="n"/>
      <c r="B562" s="2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50">
      <c r="A563" s="1" t="n"/>
      <c r="B563" s="2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50">
      <c r="A564" s="1" t="n"/>
      <c r="B564" s="2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50">
      <c r="A565" s="1" t="n"/>
      <c r="B565" s="2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50">
      <c r="A566" s="1" t="n"/>
      <c r="B566" s="2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50">
      <c r="A567" s="1" t="n"/>
      <c r="B567" s="2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50">
      <c r="A568" s="1" t="n"/>
      <c r="B568" s="2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50">
      <c r="A569" s="1" t="n"/>
      <c r="B569" s="2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50">
      <c r="A570" s="1" t="n"/>
      <c r="B570" s="2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50">
      <c r="A571" s="1" t="n"/>
      <c r="B571" s="2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50">
      <c r="A572" s="1" t="n"/>
      <c r="B572" s="2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50">
      <c r="A573" s="1" t="n"/>
      <c r="B573" s="2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50">
      <c r="A574" s="1" t="n"/>
      <c r="B574" s="2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50">
      <c r="A575" s="1" t="n"/>
      <c r="B575" s="2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50">
      <c r="A576" s="1" t="n"/>
      <c r="B576" s="2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50">
      <c r="A577" s="1" t="n"/>
      <c r="B577" s="2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50">
      <c r="A578" s="1" t="n"/>
      <c r="B578" s="2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50">
      <c r="A579" s="1" t="n"/>
      <c r="B579" s="2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50">
      <c r="A580" s="1" t="n"/>
      <c r="B580" s="2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50">
      <c r="A581" s="1" t="n"/>
      <c r="B581" s="2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50">
      <c r="A582" s="1" t="n"/>
      <c r="B582" s="2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50">
      <c r="A583" s="1" t="n"/>
      <c r="B583" s="2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50">
      <c r="A584" s="1" t="n"/>
      <c r="B584" s="2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50">
      <c r="A585" s="1" t="n"/>
      <c r="B585" s="2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50">
      <c r="A586" s="1" t="n"/>
      <c r="B586" s="2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50">
      <c r="A587" s="1" t="n"/>
      <c r="B587" s="2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50">
      <c r="A588" s="1" t="n"/>
      <c r="B588" s="2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50">
      <c r="A589" s="1" t="n"/>
      <c r="B589" s="2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50">
      <c r="A590" s="1" t="n"/>
      <c r="B590" s="2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50">
      <c r="A591" s="1" t="n"/>
      <c r="B591" s="2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50">
      <c r="A592" s="1" t="n"/>
      <c r="B592" s="2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50">
      <c r="A593" s="1" t="n"/>
      <c r="B593" s="2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50">
      <c r="A594" s="1" t="n"/>
      <c r="B594" s="2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50">
      <c r="A595" s="1" t="n"/>
      <c r="B595" s="2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50">
      <c r="A596" s="1" t="n"/>
      <c r="B596" s="2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50">
      <c r="A597" s="1" t="n"/>
      <c r="B597" s="2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50">
      <c r="A598" s="1" t="n"/>
      <c r="B598" s="2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50">
      <c r="A599" s="1" t="n"/>
      <c r="B599" s="2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50">
      <c r="A600" s="1" t="n"/>
      <c r="B600" s="2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50">
      <c r="A601" s="1" t="n"/>
      <c r="B601" s="2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50">
      <c r="A602" s="1" t="n"/>
      <c r="B602" s="2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50">
      <c r="A603" s="1" t="n"/>
      <c r="B603" s="2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50">
      <c r="A604" s="1" t="n"/>
      <c r="B604" s="2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50">
      <c r="A605" s="1" t="n"/>
      <c r="B605" s="2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50">
      <c r="A606" s="1" t="n"/>
      <c r="B606" s="2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50">
      <c r="A607" s="1" t="n"/>
      <c r="B607" s="2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50">
      <c r="A608" s="1" t="n"/>
      <c r="B608" s="2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50">
      <c r="A609" s="1" t="n"/>
      <c r="B609" s="2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50">
      <c r="A610" s="1" t="n"/>
      <c r="B610" s="2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50">
      <c r="A611" s="1" t="n"/>
      <c r="B611" s="2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50">
      <c r="A612" s="1" t="n"/>
      <c r="B612" s="2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50">
      <c r="A613" s="1" t="n"/>
      <c r="B613" s="2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50">
      <c r="A614" s="1" t="n"/>
      <c r="B614" s="2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50">
      <c r="A615" s="1" t="n"/>
      <c r="B615" s="2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50">
      <c r="A616" s="1" t="n"/>
      <c r="B616" s="2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50">
      <c r="A617" s="1" t="n"/>
      <c r="B617" s="2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50">
      <c r="A618" s="1" t="n"/>
      <c r="B618" s="2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50">
      <c r="A619" s="1" t="n"/>
      <c r="B619" s="2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50">
      <c r="A620" s="1" t="n"/>
      <c r="B620" s="2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50">
      <c r="A621" s="1" t="n"/>
      <c r="B621" s="2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50">
      <c r="A622" s="1" t="n"/>
      <c r="B622" s="2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50">
      <c r="A623" s="1" t="n"/>
      <c r="B623" s="2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50">
      <c r="A624" s="1" t="n"/>
      <c r="B624" s="2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50">
      <c r="A625" s="1" t="n"/>
      <c r="B625" s="2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50">
      <c r="A626" s="1" t="n"/>
      <c r="B626" s="2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50">
      <c r="A627" s="1" t="n"/>
      <c r="B627" s="2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50">
      <c r="A628" s="1" t="n"/>
      <c r="B628" s="2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50">
      <c r="A629" s="1" t="n"/>
      <c r="B629" s="2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50">
      <c r="A630" s="1" t="n"/>
      <c r="B630" s="2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50">
      <c r="A631" s="1" t="n"/>
      <c r="B631" s="2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50">
      <c r="A632" s="1" t="n"/>
      <c r="B632" s="2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50">
      <c r="A633" s="1" t="n"/>
      <c r="B633" s="2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50">
      <c r="A634" s="1" t="n"/>
      <c r="B634" s="2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50">
      <c r="A635" s="1" t="n"/>
      <c r="B635" s="2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50">
      <c r="A636" s="1" t="n"/>
      <c r="B636" s="2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50">
      <c r="A637" s="1" t="n"/>
      <c r="B637" s="2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50">
      <c r="A638" s="1" t="n"/>
      <c r="B638" s="2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50">
      <c r="A639" s="1" t="n"/>
      <c r="B639" s="2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50">
      <c r="A640" s="1" t="n"/>
      <c r="B640" s="2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50">
      <c r="A641" s="1" t="n"/>
      <c r="B641" s="2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50">
      <c r="A642" s="1" t="n"/>
      <c r="B642" s="2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50">
      <c r="A643" s="1" t="n"/>
      <c r="B643" s="2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50">
      <c r="A644" s="1" t="n"/>
      <c r="B644" s="2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50">
      <c r="A645" s="1" t="n"/>
      <c r="B645" s="2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50">
      <c r="A646" s="1" t="n"/>
      <c r="B646" s="2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50">
      <c r="A647" s="1" t="n"/>
      <c r="B647" s="2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50">
      <c r="A648" s="1" t="n"/>
      <c r="B648" s="2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50">
      <c r="A649" s="1" t="n"/>
      <c r="B649" s="2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50">
      <c r="A650" s="1" t="n"/>
      <c r="B650" s="2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50">
      <c r="A651" s="1" t="n"/>
      <c r="B651" s="2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50">
      <c r="A652" s="1" t="n"/>
      <c r="B652" s="2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50">
      <c r="A653" s="1" t="n"/>
      <c r="B653" s="2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50">
      <c r="A654" s="1" t="n"/>
      <c r="B654" s="2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50">
      <c r="A655" s="1" t="n"/>
      <c r="B655" s="2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50">
      <c r="A656" s="1" t="n"/>
      <c r="B656" s="2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50">
      <c r="A657" s="1" t="n"/>
      <c r="B657" s="2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50">
      <c r="A658" s="1" t="n"/>
      <c r="B658" s="2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50">
      <c r="A659" s="1" t="n"/>
      <c r="B659" s="2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50">
      <c r="A660" s="1" t="n"/>
      <c r="B660" s="2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50">
      <c r="A661" s="1" t="n"/>
      <c r="B661" s="2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50">
      <c r="A662" s="1" t="n"/>
      <c r="B662" s="2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50">
      <c r="A663" s="1" t="n"/>
      <c r="B663" s="2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50">
      <c r="A664" s="1" t="n"/>
      <c r="B664" s="2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50">
      <c r="A665" s="1" t="n"/>
      <c r="B665" s="2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50">
      <c r="A666" s="1" t="n"/>
      <c r="B666" s="2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50">
      <c r="A667" s="1" t="n"/>
      <c r="B667" s="2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50">
      <c r="A668" s="1" t="n"/>
      <c r="B668" s="2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50">
      <c r="A669" s="1" t="n"/>
      <c r="B669" s="2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50">
      <c r="A670" s="1" t="n"/>
      <c r="B670" s="2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50">
      <c r="A671" s="1" t="n"/>
      <c r="B671" s="2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50">
      <c r="A672" s="1" t="n"/>
      <c r="B672" s="2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50">
      <c r="A673" s="1" t="n"/>
      <c r="B673" s="2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50">
      <c r="A674" s="1" t="n"/>
      <c r="B674" s="2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50">
      <c r="A675" s="1" t="n"/>
      <c r="B675" s="2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50">
      <c r="A676" s="1" t="n"/>
      <c r="B676" s="2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50">
      <c r="A677" s="1" t="n"/>
      <c r="B677" s="2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50">
      <c r="A678" s="1" t="n"/>
      <c r="B678" s="2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50">
      <c r="A679" s="1" t="n"/>
      <c r="B679" s="2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50">
      <c r="A680" s="1" t="n"/>
      <c r="B680" s="2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50">
      <c r="A681" s="1" t="n"/>
      <c r="B681" s="2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50">
      <c r="A682" s="1" t="n"/>
      <c r="B682" s="2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50">
      <c r="A683" s="1" t="n"/>
      <c r="B683" s="2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50">
      <c r="A684" s="1" t="n"/>
      <c r="B684" s="2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50">
      <c r="A685" s="1" t="n"/>
      <c r="B685" s="2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50">
      <c r="A686" s="1" t="n"/>
      <c r="B686" s="2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50">
      <c r="A687" s="1" t="n"/>
      <c r="B687" s="2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50">
      <c r="A688" s="1" t="n"/>
      <c r="B688" s="2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50">
      <c r="A689" s="1" t="n"/>
      <c r="B689" s="2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50">
      <c r="A690" s="1" t="n"/>
      <c r="B690" s="2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50">
      <c r="A691" s="1" t="n"/>
      <c r="B691" s="2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50">
      <c r="A692" s="1" t="n"/>
      <c r="B692" s="2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50">
      <c r="A693" s="1" t="n"/>
      <c r="B693" s="2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50">
      <c r="A694" s="1" t="n"/>
      <c r="B694" s="2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50">
      <c r="A695" s="1" t="n"/>
      <c r="B695" s="2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50">
      <c r="A696" s="1" t="n"/>
      <c r="B696" s="2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50">
      <c r="A697" s="1" t="n"/>
      <c r="B697" s="2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50">
      <c r="A698" s="1" t="n"/>
      <c r="B698" s="2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50">
      <c r="A699" s="1" t="n"/>
      <c r="B699" s="2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50">
      <c r="A700" s="1" t="n"/>
      <c r="B700" s="2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50">
      <c r="A701" s="1" t="n"/>
      <c r="B701" s="2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50">
      <c r="A702" s="1" t="n"/>
      <c r="B702" s="2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50">
      <c r="A703" s="1" t="n"/>
      <c r="B703" s="2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50">
      <c r="A704" s="1" t="n"/>
      <c r="B704" s="2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50">
      <c r="A705" s="1" t="n"/>
      <c r="B705" s="2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50">
      <c r="A706" s="1" t="n"/>
      <c r="B706" s="2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50">
      <c r="A707" s="1" t="n"/>
      <c r="B707" s="2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50">
      <c r="A708" s="1" t="n"/>
      <c r="B708" s="2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50">
      <c r="A709" s="1" t="n"/>
      <c r="B709" s="2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50">
      <c r="A710" s="1" t="n"/>
      <c r="B710" s="2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50">
      <c r="A711" s="1" t="n"/>
      <c r="B711" s="2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50">
      <c r="A712" s="1" t="n"/>
      <c r="B712" s="2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50">
      <c r="A713" s="1" t="n"/>
      <c r="B713" s="2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50">
      <c r="A714" s="1" t="n"/>
      <c r="B714" s="2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50">
      <c r="A715" s="1" t="n"/>
      <c r="B715" s="2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50">
      <c r="A716" s="1" t="n"/>
      <c r="B716" s="2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50">
      <c r="A717" s="1" t="n"/>
      <c r="B717" s="2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50">
      <c r="A718" s="1" t="n"/>
      <c r="B718" s="2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50">
      <c r="A719" s="1" t="n"/>
      <c r="B719" s="2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50">
      <c r="A720" s="1" t="n"/>
      <c r="B720" s="2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50">
      <c r="A721" s="1" t="n"/>
      <c r="B721" s="2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50">
      <c r="A722" s="1" t="n"/>
      <c r="B722" s="2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50">
      <c r="A723" s="1" t="n"/>
      <c r="B723" s="2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50">
      <c r="A724" s="1" t="n"/>
      <c r="B724" s="2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50">
      <c r="A725" s="1" t="n"/>
      <c r="B725" s="2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50">
      <c r="A726" s="1" t="n"/>
      <c r="B726" s="2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50">
      <c r="A727" s="1" t="n"/>
      <c r="B727" s="2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50">
      <c r="A728" s="1" t="n"/>
      <c r="B728" s="2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50">
      <c r="A729" s="1" t="n"/>
      <c r="B729" s="2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50">
      <c r="A730" s="1" t="n"/>
      <c r="B730" s="2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50">
      <c r="A731" s="1" t="n"/>
      <c r="B731" s="2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50">
      <c r="A732" s="1" t="n"/>
      <c r="B732" s="2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50">
      <c r="A733" s="1" t="n"/>
      <c r="B733" s="2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50">
      <c r="A734" s="1" t="n"/>
      <c r="B734" s="2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50">
      <c r="A735" s="1" t="n"/>
      <c r="B735" s="2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50">
      <c r="A736" s="1" t="n"/>
      <c r="B736" s="2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50">
      <c r="A737" s="1" t="n"/>
      <c r="B737" s="2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50">
      <c r="A738" s="1" t="n"/>
      <c r="B738" s="2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50">
      <c r="A739" s="1" t="n"/>
      <c r="B739" s="2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50">
      <c r="A740" s="1" t="n"/>
      <c r="B740" s="2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50">
      <c r="A741" s="1" t="n"/>
      <c r="B741" s="2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50">
      <c r="A742" s="1" t="n"/>
      <c r="B742" s="2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50">
      <c r="A743" s="1" t="n"/>
      <c r="B743" s="2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50">
      <c r="A744" s="1" t="n"/>
      <c r="B744" s="2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50">
      <c r="A745" s="1" t="n"/>
      <c r="B745" s="2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50">
      <c r="A746" s="1" t="n"/>
      <c r="B746" s="2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50">
      <c r="A747" s="1" t="n"/>
      <c r="B747" s="2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50">
      <c r="A748" s="1" t="n"/>
      <c r="B748" s="2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50">
      <c r="A749" s="1" t="n"/>
      <c r="B749" s="2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50">
      <c r="A750" s="1" t="n"/>
      <c r="B750" s="2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50">
      <c r="A751" s="1" t="n"/>
      <c r="B751" s="2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50">
      <c r="A752" s="1" t="n"/>
      <c r="B752" s="2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50">
      <c r="A753" s="1" t="n"/>
      <c r="B753" s="2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50">
      <c r="A754" s="1" t="n"/>
      <c r="B754" s="2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50">
      <c r="A755" s="1" t="n"/>
      <c r="B755" s="2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50">
      <c r="A756" s="1" t="n"/>
      <c r="B756" s="2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50">
      <c r="A757" s="1" t="n"/>
      <c r="B757" s="2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50">
      <c r="A758" s="1" t="n"/>
      <c r="B758" s="2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50">
      <c r="A759" s="1" t="n"/>
      <c r="B759" s="2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50">
      <c r="A760" s="1" t="n"/>
      <c r="B760" s="2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50">
      <c r="A761" s="1" t="n"/>
      <c r="B761" s="2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50">
      <c r="A762" s="1" t="n"/>
      <c r="B762" s="2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50">
      <c r="A763" s="1" t="n"/>
      <c r="B763" s="2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50">
      <c r="A764" s="1" t="n"/>
      <c r="B764" s="2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50">
      <c r="A765" s="1" t="n"/>
      <c r="B765" s="2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50">
      <c r="A766" s="1" t="n"/>
      <c r="B766" s="2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50">
      <c r="A767" s="1" t="n"/>
      <c r="B767" s="2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50">
      <c r="A768" s="1" t="n"/>
      <c r="B768" s="2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50">
      <c r="A769" s="1" t="n"/>
      <c r="B769" s="2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50">
      <c r="A770" s="1" t="n"/>
      <c r="B770" s="2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50">
      <c r="A771" s="1" t="n"/>
      <c r="B771" s="2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50">
      <c r="A772" s="1" t="n"/>
      <c r="B772" s="2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50">
      <c r="A773" s="1" t="n"/>
      <c r="B773" s="2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50">
      <c r="A774" s="1" t="n"/>
      <c r="B774" s="2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50">
      <c r="A775" s="1" t="n"/>
      <c r="B775" s="2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50">
      <c r="A776" s="1" t="n"/>
      <c r="B776" s="2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50">
      <c r="A777" s="1" t="n"/>
      <c r="B777" s="2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50">
      <c r="A778" s="1" t="n"/>
      <c r="B778" s="2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50">
      <c r="A779" s="1" t="n"/>
      <c r="B779" s="2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50">
      <c r="A780" s="1" t="n"/>
      <c r="B780" s="2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50">
      <c r="A781" s="1" t="n"/>
      <c r="B781" s="2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50">
      <c r="A782" s="1" t="n"/>
      <c r="B782" s="2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50">
      <c r="A783" s="1" t="n"/>
      <c r="B783" s="2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50">
      <c r="A784" s="1" t="n"/>
      <c r="B784" s="2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50">
      <c r="A785" s="1" t="n"/>
      <c r="B785" s="2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50">
      <c r="A786" s="1" t="n"/>
      <c r="B786" s="2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50">
      <c r="A787" s="1" t="n"/>
      <c r="B787" s="2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50">
      <c r="A788" s="1" t="n"/>
      <c r="B788" s="2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50">
      <c r="A789" s="1" t="n"/>
      <c r="B789" s="2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50">
      <c r="A790" s="1" t="n"/>
      <c r="B790" s="2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50">
      <c r="A791" s="1" t="n"/>
      <c r="B791" s="2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50">
      <c r="A792" s="1" t="n"/>
      <c r="B792" s="2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50">
      <c r="A793" s="1" t="n"/>
      <c r="B793" s="2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50">
      <c r="A794" s="1" t="n"/>
      <c r="B794" s="2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50">
      <c r="A795" s="1" t="n"/>
      <c r="B795" s="2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50">
      <c r="A796" s="1" t="n"/>
      <c r="B796" s="2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50">
      <c r="A797" s="1" t="n"/>
      <c r="B797" s="2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50">
      <c r="A798" s="1" t="n"/>
      <c r="B798" s="2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50">
      <c r="A799" s="1" t="n"/>
      <c r="B799" s="2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50">
      <c r="A800" s="1" t="n"/>
      <c r="B800" s="2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50">
      <c r="A801" s="1" t="n"/>
      <c r="B801" s="2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50">
      <c r="A802" s="1" t="n"/>
      <c r="B802" s="2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50">
      <c r="A803" s="1" t="n"/>
      <c r="B803" s="2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50">
      <c r="A804" s="1" t="n"/>
      <c r="B804" s="2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50">
      <c r="A805" s="1" t="n"/>
      <c r="B805" s="2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50">
      <c r="A806" s="1" t="n"/>
      <c r="B806" s="2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50">
      <c r="A807" s="1" t="n"/>
      <c r="B807" s="2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50">
      <c r="A808" s="1" t="n"/>
      <c r="B808" s="2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50">
      <c r="A809" s="1" t="n"/>
      <c r="B809" s="2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50">
      <c r="A810" s="1" t="n"/>
      <c r="B810" s="2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50">
      <c r="A811" s="1" t="n"/>
      <c r="B811" s="2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50">
      <c r="A812" s="1" t="n"/>
      <c r="B812" s="2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50">
      <c r="A813" s="1" t="n"/>
      <c r="B813" s="2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50">
      <c r="A814" s="1" t="n"/>
      <c r="B814" s="2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50">
      <c r="A815" s="1" t="n"/>
      <c r="B815" s="2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50">
      <c r="A816" s="1" t="n"/>
      <c r="B816" s="2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50">
      <c r="A817" s="1" t="n"/>
      <c r="B817" s="2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50">
      <c r="A818" s="1" t="n"/>
      <c r="B818" s="2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50">
      <c r="A819" s="1" t="n"/>
      <c r="B819" s="2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50">
      <c r="A820" s="1" t="n"/>
      <c r="B820" s="2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50">
      <c r="A821" s="1" t="n"/>
      <c r="B821" s="2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50">
      <c r="A822" s="1" t="n"/>
      <c r="B822" s="2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50">
      <c r="A823" s="1" t="n"/>
      <c r="B823" s="2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50">
      <c r="A824" s="1" t="n"/>
      <c r="B824" s="2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50">
      <c r="A825" s="1" t="n"/>
      <c r="B825" s="2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50">
      <c r="A826" s="1" t="n"/>
      <c r="B826" s="2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50">
      <c r="A827" s="1" t="n"/>
      <c r="B827" s="2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50">
      <c r="A828" s="1" t="n"/>
      <c r="B828" s="2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50">
      <c r="A829" s="1" t="n"/>
      <c r="B829" s="2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50">
      <c r="A830" s="1" t="n"/>
      <c r="B830" s="2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50">
      <c r="A831" s="1" t="n"/>
      <c r="B831" s="2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50">
      <c r="A832" s="1" t="n"/>
      <c r="B832" s="2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50">
      <c r="A833" s="1" t="n"/>
      <c r="B833" s="2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50">
      <c r="A834" s="1" t="n"/>
      <c r="B834" s="2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50">
      <c r="A835" s="1" t="n"/>
      <c r="B835" s="2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50">
      <c r="A836" s="1" t="n"/>
      <c r="B836" s="2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50">
      <c r="A837" s="1" t="n"/>
      <c r="B837" s="2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50">
      <c r="A838" s="1" t="n"/>
      <c r="B838" s="2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50">
      <c r="A839" s="1" t="n"/>
      <c r="B839" s="2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50">
      <c r="A840" s="1" t="n"/>
      <c r="B840" s="2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50">
      <c r="A841" s="1" t="n"/>
      <c r="B841" s="2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50">
      <c r="A842" s="1" t="n"/>
      <c r="B842" s="2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50">
      <c r="A843" s="1" t="n"/>
      <c r="B843" s="2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50">
      <c r="A844" s="1" t="n"/>
      <c r="B844" s="2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50">
      <c r="A845" s="1" t="n"/>
      <c r="B845" s="2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50">
      <c r="A846" s="1" t="n"/>
      <c r="B846" s="2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50">
      <c r="A847" s="1" t="n"/>
      <c r="B847" s="2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50">
      <c r="A848" s="1" t="n"/>
      <c r="B848" s="2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50">
      <c r="A849" s="1" t="n"/>
      <c r="B849" s="2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50">
      <c r="A850" s="1" t="n"/>
      <c r="B850" s="2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50">
      <c r="A851" s="1" t="n"/>
      <c r="B851" s="2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50">
      <c r="A852" s="1" t="n"/>
      <c r="B852" s="2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50">
      <c r="A853" s="1" t="n"/>
      <c r="B853" s="2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50">
      <c r="A854" s="1" t="n"/>
      <c r="B854" s="2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50">
      <c r="A855" s="1" t="n"/>
      <c r="B855" s="2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50">
      <c r="A856" s="1" t="n"/>
      <c r="B856" s="2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50">
      <c r="A857" s="1" t="n"/>
      <c r="B857" s="2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50">
      <c r="A858" s="1" t="n"/>
      <c r="B858" s="2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50">
      <c r="A859" s="1" t="n"/>
      <c r="B859" s="2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50">
      <c r="A860" s="1" t="n"/>
      <c r="B860" s="2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50">
      <c r="A861" s="1" t="n"/>
      <c r="B861" s="2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50">
      <c r="A862" s="1" t="n"/>
      <c r="B862" s="2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50">
      <c r="A863" s="1" t="n"/>
      <c r="B863" s="2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50">
      <c r="A864" s="1" t="n"/>
      <c r="B864" s="2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50">
      <c r="A865" s="1" t="n"/>
      <c r="B865" s="2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50">
      <c r="A866" s="1" t="n"/>
      <c r="B866" s="2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50">
      <c r="A867" s="1" t="n"/>
      <c r="B867" s="2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50">
      <c r="A868" s="1" t="n"/>
      <c r="B868" s="2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50">
      <c r="A869" s="1" t="n"/>
      <c r="B869" s="2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50">
      <c r="A870" s="1" t="n"/>
      <c r="B870" s="2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50">
      <c r="A871" s="1" t="n"/>
      <c r="B871" s="2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50">
      <c r="A872" s="1" t="n"/>
      <c r="B872" s="2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50">
      <c r="A873" s="1" t="n"/>
      <c r="B873" s="2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50">
      <c r="A874" s="1" t="n"/>
      <c r="B874" s="2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50">
      <c r="A875" s="1" t="n"/>
      <c r="B875" s="2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50">
      <c r="A876" s="1" t="n"/>
      <c r="B876" s="2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50">
      <c r="A877" s="1" t="n"/>
      <c r="B877" s="2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50">
      <c r="A878" s="1" t="n"/>
      <c r="B878" s="2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50">
      <c r="A879" s="1" t="n"/>
      <c r="B879" s="2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50">
      <c r="A880" s="1" t="n"/>
      <c r="B880" s="2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50">
      <c r="A881" s="1" t="n"/>
      <c r="B881" s="2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50">
      <c r="A882" s="1" t="n"/>
      <c r="B882" s="2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50">
      <c r="A883" s="1" t="n"/>
      <c r="B883" s="2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50">
      <c r="A884" s="1" t="n"/>
      <c r="B884" s="2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50">
      <c r="A885" s="1" t="n"/>
      <c r="B885" s="2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50">
      <c r="A886" s="1" t="n"/>
      <c r="B886" s="2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50">
      <c r="A887" s="1" t="n"/>
      <c r="B887" s="2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50">
      <c r="A888" s="1" t="n"/>
      <c r="B888" s="2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50">
      <c r="A889" s="1" t="n"/>
      <c r="B889" s="2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50">
      <c r="A890" s="1" t="n"/>
      <c r="B890" s="2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50">
      <c r="A891" s="1" t="n"/>
      <c r="B891" s="2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50">
      <c r="A892" s="1" t="n"/>
      <c r="B892" s="2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50">
      <c r="A893" s="1" t="n"/>
      <c r="B893" s="2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50">
      <c r="A894" s="1" t="n"/>
      <c r="B894" s="2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50">
      <c r="A895" s="1" t="n"/>
      <c r="B895" s="2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50">
      <c r="A896" s="1" t="n"/>
      <c r="B896" s="2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50">
      <c r="A897" s="1" t="n"/>
      <c r="B897" s="2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50">
      <c r="A898" s="1" t="n"/>
      <c r="B898" s="2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50">
      <c r="A899" s="1" t="n"/>
      <c r="B899" s="2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50">
      <c r="A900" s="1" t="n"/>
      <c r="B900" s="2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50">
      <c r="A901" s="1" t="n"/>
      <c r="B901" s="2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50">
      <c r="A902" s="1" t="n"/>
      <c r="B902" s="2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50">
      <c r="A903" s="1" t="n"/>
      <c r="B903" s="2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50">
      <c r="A904" s="1" t="n"/>
      <c r="B904" s="2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50">
      <c r="A905" s="1" t="n"/>
      <c r="B905" s="2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50">
      <c r="A906" s="1" t="n"/>
      <c r="B906" s="2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50">
      <c r="A907" s="1" t="n"/>
      <c r="B907" s="2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50">
      <c r="A908" s="1" t="n"/>
      <c r="B908" s="2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50">
      <c r="A909" s="1" t="n"/>
      <c r="B909" s="2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50">
      <c r="A910" s="1" t="n"/>
      <c r="B910" s="2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50">
      <c r="A911" s="1" t="n"/>
      <c r="B911" s="2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50">
      <c r="A912" s="1" t="n"/>
      <c r="B912" s="2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50">
      <c r="A913" s="1" t="n"/>
      <c r="B913" s="2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50">
      <c r="A914" s="1" t="n"/>
      <c r="B914" s="2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50">
      <c r="A915" s="1" t="n"/>
      <c r="B915" s="2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50">
      <c r="A916" s="1" t="n"/>
      <c r="B916" s="2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50">
      <c r="A917" s="1" t="n"/>
      <c r="B917" s="2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50">
      <c r="A918" s="1" t="n"/>
      <c r="B918" s="2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50">
      <c r="A919" s="1" t="n"/>
      <c r="B919" s="2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50">
      <c r="A920" s="1" t="n"/>
      <c r="B920" s="2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50">
      <c r="A921" s="1" t="n"/>
      <c r="B921" s="2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50">
      <c r="A922" s="1" t="n"/>
      <c r="B922" s="2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50">
      <c r="A923" s="1" t="n"/>
      <c r="B923" s="2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50">
      <c r="A924" s="1" t="n"/>
      <c r="B924" s="2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50">
      <c r="A925" s="1" t="n"/>
      <c r="B925" s="2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50">
      <c r="A926" s="1" t="n"/>
      <c r="B926" s="2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50">
      <c r="A927" s="1" t="n"/>
      <c r="B927" s="2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50">
      <c r="A928" s="1" t="n"/>
      <c r="B928" s="2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50">
      <c r="A929" s="1" t="n"/>
      <c r="B929" s="2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50">
      <c r="A930" s="1" t="n"/>
      <c r="B930" s="2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50">
      <c r="A931" s="1" t="n"/>
      <c r="B931" s="2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50">
      <c r="A932" s="1" t="n"/>
      <c r="B932" s="2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50">
      <c r="A933" s="1" t="n"/>
      <c r="B933" s="2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50">
      <c r="A934" s="1" t="n"/>
      <c r="B934" s="2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50">
      <c r="A935" s="1" t="n"/>
      <c r="B935" s="2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50">
      <c r="A936" s="1" t="n"/>
      <c r="B936" s="2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50">
      <c r="A937" s="1" t="n"/>
      <c r="B937" s="2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50">
      <c r="A938" s="1" t="n"/>
      <c r="B938" s="2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50">
      <c r="A939" s="1" t="n"/>
      <c r="B939" s="2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50">
      <c r="A940" s="1" t="n"/>
      <c r="B940" s="2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50">
      <c r="A941" s="1" t="n"/>
      <c r="B941" s="2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50">
      <c r="A942" s="1" t="n"/>
      <c r="B942" s="2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50">
      <c r="A943" s="1" t="n"/>
      <c r="B943" s="2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50">
      <c r="A944" s="1" t="n"/>
      <c r="B944" s="2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50">
      <c r="A945" s="1" t="n"/>
      <c r="B945" s="2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50">
      <c r="A946" s="1" t="n"/>
      <c r="B946" s="2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50">
      <c r="A947" s="1" t="n"/>
      <c r="B947" s="2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50">
      <c r="A948" s="1" t="n"/>
      <c r="B948" s="2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50">
      <c r="A949" s="1" t="n"/>
      <c r="B949" s="2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50">
      <c r="A950" s="1" t="n"/>
      <c r="B950" s="2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50">
      <c r="A951" s="1" t="n"/>
      <c r="B951" s="2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50">
      <c r="A952" s="1" t="n"/>
      <c r="B952" s="2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50">
      <c r="A953" s="1" t="n"/>
      <c r="B953" s="2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50">
      <c r="A954" s="1" t="n"/>
      <c r="B954" s="2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50">
      <c r="A955" s="1" t="n"/>
      <c r="B955" s="2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50">
      <c r="A956" s="1" t="n"/>
      <c r="B956" s="2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50">
      <c r="A957" s="1" t="n"/>
      <c r="B957" s="2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50">
      <c r="A958" s="1" t="n"/>
      <c r="B958" s="2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50">
      <c r="A959" s="1" t="n"/>
      <c r="B959" s="2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50">
      <c r="A960" s="1" t="n"/>
      <c r="B960" s="2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50">
      <c r="A961" s="1" t="n"/>
      <c r="B961" s="2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50">
      <c r="A962" s="1" t="n"/>
      <c r="B962" s="2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50">
      <c r="A963" s="1" t="n"/>
      <c r="B963" s="2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50">
      <c r="A964" s="1" t="n"/>
      <c r="B964" s="2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50">
      <c r="A965" s="1" t="n"/>
      <c r="B965" s="2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50">
      <c r="A966" s="1" t="n"/>
      <c r="B966" s="2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50">
      <c r="A967" s="1" t="n"/>
      <c r="B967" s="2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50">
      <c r="A968" s="1" t="n"/>
      <c r="B968" s="2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50">
      <c r="A969" s="1" t="n"/>
      <c r="B969" s="2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50">
      <c r="A970" s="1" t="n"/>
      <c r="B970" s="2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50">
      <c r="A971" s="1" t="n"/>
      <c r="B971" s="2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50">
      <c r="A972" s="1" t="n"/>
      <c r="B972" s="2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50">
      <c r="A973" s="1" t="n"/>
      <c r="B973" s="2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50">
      <c r="A974" s="1" t="n"/>
      <c r="B974" s="2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50">
      <c r="A975" s="1" t="n"/>
      <c r="B975" s="2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50">
      <c r="A976" s="1" t="n"/>
      <c r="B976" s="2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50">
      <c r="A977" s="1" t="n"/>
      <c r="B977" s="2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50">
      <c r="A978" s="1" t="n"/>
      <c r="B978" s="2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50">
      <c r="A979" s="1" t="n"/>
      <c r="B979" s="2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50">
      <c r="A980" s="1" t="n"/>
      <c r="B980" s="2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50">
      <c r="A981" s="1" t="n"/>
      <c r="B981" s="2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50">
      <c r="A982" s="1" t="n"/>
      <c r="B982" s="2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50">
      <c r="A983" s="1" t="n"/>
      <c r="B983" s="2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50">
      <c r="A984" s="1" t="n"/>
      <c r="B984" s="2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50">
      <c r="A985" s="1" t="n"/>
      <c r="B985" s="2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50">
      <c r="A986" s="1" t="n"/>
      <c r="B986" s="2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50">
      <c r="A987" s="1" t="n"/>
      <c r="B987" s="2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50">
      <c r="A988" s="1" t="n"/>
      <c r="B988" s="2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50">
      <c r="A989" s="1" t="n"/>
      <c r="B989" s="2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50">
      <c r="A990" s="1" t="n"/>
      <c r="B990" s="2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50">
      <c r="A991" s="1" t="n"/>
      <c r="B991" s="2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50">
      <c r="A992" s="1" t="n"/>
      <c r="B992" s="2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50">
      <c r="A993" s="1" t="n"/>
      <c r="B993" s="2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50">
      <c r="A994" s="1" t="n"/>
      <c r="B994" s="2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50">
      <c r="A995" s="1" t="n"/>
      <c r="B995" s="2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2.75" customHeight="1" s="150">
      <c r="A996" s="1" t="n"/>
      <c r="B996" s="2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2.75" customHeight="1" s="150">
      <c r="A997" s="1" t="n"/>
      <c r="B997" s="2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2.75" customHeight="1" s="150">
      <c r="A998" s="1" t="n"/>
      <c r="B998" s="2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2.75" customHeight="1" s="150">
      <c r="A999" s="1" t="n"/>
      <c r="B999" s="2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2.75" customHeight="1" s="150">
      <c r="A1000" s="1" t="n"/>
      <c r="B1000" s="2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B2:G2"/>
    <mergeCell ref="C6:E7"/>
    <mergeCell ref="C5:E5"/>
    <mergeCell ref="C4:E4"/>
    <mergeCell ref="B6:B7"/>
  </mergeCells>
  <pageMargins left="0.7" right="0.7" top="0.75" bottom="0.75" header="0.511811023622047" footer="0"/>
  <pageSetup orientation="landscape" horizontalDpi="300" verticalDpi="300"/>
  <headerFooter>
    <oddHeader/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zoomScaleNormal="100" workbookViewId="0">
      <selection activeCell="D5" sqref="D5:F5"/>
    </sheetView>
  </sheetViews>
  <sheetFormatPr baseColWidth="8" defaultColWidth="14.453125" defaultRowHeight="14.5"/>
  <cols>
    <col width="1.54296875" customWidth="1" style="150" min="1" max="1"/>
    <col width="13.453125" customWidth="1" style="150" min="2" max="2"/>
    <col width="30.26953125" customWidth="1" style="150" min="3" max="3"/>
    <col width="19.54296875" customWidth="1" style="150" min="4" max="4"/>
    <col width="32.1796875" customWidth="1" style="150" min="5" max="5"/>
    <col width="35" customWidth="1" style="150" min="6" max="6"/>
    <col width="9.1796875" customWidth="1" style="150" min="7" max="26"/>
  </cols>
  <sheetData>
    <row r="1" ht="25.5" customHeight="1" s="150">
      <c r="A1" s="7" t="n"/>
      <c r="B1" s="27" t="n"/>
      <c r="C1" s="28" t="n"/>
      <c r="D1" s="29" t="inlineStr">
        <is>
          <t>TEST CASE LIST</t>
        </is>
      </c>
      <c r="E1" s="30" t="n"/>
      <c r="F1" s="28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3.5" customHeight="1" s="150">
      <c r="A2" s="7" t="n"/>
      <c r="B2" s="27" t="n"/>
      <c r="C2" s="28" t="n"/>
      <c r="D2" s="31" t="n"/>
      <c r="E2" s="31" t="n"/>
      <c r="F2" s="28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.75" customHeight="1" s="150">
      <c r="A3" s="7" t="n"/>
      <c r="B3" s="142" t="inlineStr">
        <is>
          <t>Project Name</t>
        </is>
      </c>
      <c r="C3" s="130" t="n"/>
      <c r="D3" s="144">
        <f>Cover!C4</f>
        <v/>
      </c>
      <c r="E3" s="130" t="n"/>
      <c r="F3" s="131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2.75" customHeight="1" s="150">
      <c r="A4" s="7" t="n"/>
      <c r="B4" s="142" t="inlineStr">
        <is>
          <t>Project Code</t>
        </is>
      </c>
      <c r="C4" s="130" t="n"/>
      <c r="D4" s="144">
        <f>Cover!C5</f>
        <v/>
      </c>
      <c r="E4" s="130" t="n"/>
      <c r="F4" s="131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84.75" customHeight="1" s="150">
      <c r="A5" s="32" t="n"/>
      <c r="B5" s="143" t="inlineStr">
        <is>
          <t>Test Environment Setup Description</t>
        </is>
      </c>
      <c r="C5" s="131" t="n"/>
      <c r="D5" s="141" t="inlineStr">
        <is>
          <t>1. Ứng dụng Web: https://mail.google.com
2. Trình duyệt: Google Chrome (Sử dụng Profile đã đăng nhập sẵn)
3. Công cụ Automation: Java + Selenium WebDriver + TestNG (POM)
4. Hệ điều hành: Windows 10/11</t>
        </is>
      </c>
      <c r="E5" s="130" t="n"/>
      <c r="F5" s="131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</row>
    <row r="6" ht="12.75" customHeight="1" s="150">
      <c r="A6" s="7" t="n"/>
      <c r="B6" s="33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2.75" customHeight="1" s="150">
      <c r="A7" s="34" t="n"/>
      <c r="B7" s="35" t="n"/>
      <c r="C7" s="36" t="n"/>
      <c r="D7" s="36" t="n"/>
      <c r="E7" s="36" t="n"/>
      <c r="F7" s="36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21" customHeight="1" s="150">
      <c r="A8" s="37" t="n"/>
      <c r="B8" s="38" t="inlineStr">
        <is>
          <t>No</t>
        </is>
      </c>
      <c r="C8" s="39" t="inlineStr">
        <is>
          <t>Function Name</t>
        </is>
      </c>
      <c r="D8" s="39" t="inlineStr">
        <is>
          <t>Sheet Name</t>
        </is>
      </c>
      <c r="E8" s="40" t="inlineStr">
        <is>
          <t>Description</t>
        </is>
      </c>
      <c r="F8" s="41" t="inlineStr">
        <is>
          <t>Pre-Condition</t>
        </is>
      </c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 ht="13.5" customHeight="1" s="150">
      <c r="A9" s="7" t="n"/>
      <c r="B9" s="42" t="n">
        <v>1</v>
      </c>
      <c r="C9" s="43" t="inlineStr">
        <is>
          <t>Tìm kiếm thư (Cơ bản &amp; Nâng cao)</t>
        </is>
      </c>
      <c r="D9" s="44" t="inlineStr">
        <is>
          <t>Search Mail</t>
        </is>
      </c>
      <c r="E9" s="45" t="inlineStr">
        <is>
          <t>Kiểm thử thanh tìm kiếm từ khóa và bộ lọc tìm kiếm nâng cao (30 Test Cases).</t>
        </is>
      </c>
      <c r="F9" s="46" t="inlineStr">
        <is>
          <t>Đã đăng nhập sẵn vào hộp thư Gmail qua Chrome Profile.</t>
        </is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3.5" customHeight="1" s="150">
      <c r="A10" s="7" t="n"/>
      <c r="B10" s="42" t="n">
        <v>2</v>
      </c>
      <c r="C10" s="43" t="inlineStr">
        <is>
          <t>Trả lời thư (Reply)</t>
        </is>
      </c>
      <c r="D10" s="44" t="inlineStr">
        <is>
          <t>Reply</t>
        </is>
      </c>
      <c r="E10" s="45" t="inlineStr">
        <is>
          <t>Kiểm thử chức năng Trả lời thư (9 Test Cases).</t>
        </is>
      </c>
      <c r="F10" s="46" t="inlineStr">
        <is>
          <t>Đã đăng nhập Gmail và có sẵn email trong Hộp thư đến.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3.5" customHeight="1" s="150">
      <c r="A11" s="7" t="n"/>
      <c r="B11" s="42" t="n">
        <v>3</v>
      </c>
      <c r="C11" s="43" t="inlineStr">
        <is>
          <t>Trả lời tất cả (Reply All)</t>
        </is>
      </c>
      <c r="D11" s="44" t="inlineStr">
        <is>
          <t>Reply All</t>
        </is>
      </c>
      <c r="E11" s="45" t="inlineStr">
        <is>
          <t>Kiểm thử chức năng Trả lời tất cả (6 Test Cases).</t>
        </is>
      </c>
      <c r="F11" s="46" t="inlineStr">
        <is>
          <t>Đã đăng nhập Gmail và có sẵn email trong Hộp thư đến.</t>
        </is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2.75" customHeight="1" s="150">
      <c r="A12" s="7" t="n"/>
      <c r="B12" s="47" t="n">
        <v>4</v>
      </c>
      <c r="C12" s="48" t="inlineStr">
        <is>
          <t>Chuyển tiếp thư (Forward)</t>
        </is>
      </c>
      <c r="D12" s="49" t="inlineStr">
        <is>
          <t>Forward</t>
        </is>
      </c>
      <c r="E12" s="49" t="inlineStr">
        <is>
          <t>Kiểm thử chức năng Chuyển tiếp (8 Test Cases).</t>
        </is>
      </c>
      <c r="F12" s="50" t="inlineStr">
        <is>
          <t>Đã đăng nhập Gmail và có sẵn email trong Hộp thư đến.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2.75" customHeight="1" s="150">
      <c r="A13" s="7" t="n"/>
      <c r="B13" s="47" t="n">
        <v>5</v>
      </c>
      <c r="C13" s="48" t="inlineStr">
        <is>
          <t>Quản lý Nhãn (Thêm, Sửa, Xóa &amp; Gán nhãn)</t>
        </is>
      </c>
      <c r="D13" s="49" t="inlineStr">
        <is>
          <t>Manage Labels</t>
        </is>
      </c>
      <c r="E13" s="49" t="inlineStr">
        <is>
          <t>Kiểm thử tạo mới, sửa tên, đổi màu, xóa nhãn và gán nhãn phân loại (27 Test Cases).</t>
        </is>
      </c>
      <c r="F13" s="50" t="inlineStr">
        <is>
          <t>Đã đăng nhập sẵn vào hộp thư Gmail qua Chrome Profile.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 s="150">
      <c r="A14" s="7" t="n"/>
      <c r="B14" s="47" t="n"/>
      <c r="C14" s="48" t="n"/>
      <c r="D14" s="51" t="n"/>
      <c r="E14" s="51" t="n"/>
      <c r="F14" s="50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.75" customHeight="1" s="150">
      <c r="A15" s="7" t="n"/>
      <c r="B15" s="47" t="n"/>
      <c r="C15" s="48" t="n"/>
      <c r="D15" s="51" t="n"/>
      <c r="E15" s="51" t="n"/>
      <c r="F15" s="50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 s="150">
      <c r="A16" s="7" t="n"/>
      <c r="B16" s="47" t="n"/>
      <c r="C16" s="48" t="n"/>
      <c r="D16" s="51" t="n"/>
      <c r="E16" s="51" t="n"/>
      <c r="F16" s="50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 s="150">
      <c r="A17" s="7" t="n"/>
      <c r="B17" s="47" t="n"/>
      <c r="C17" s="48" t="n"/>
      <c r="D17" s="51" t="n"/>
      <c r="E17" s="51" t="n"/>
      <c r="F17" s="50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50">
      <c r="A18" s="7" t="n"/>
      <c r="B18" s="47" t="n"/>
      <c r="C18" s="48" t="n"/>
      <c r="D18" s="51" t="n"/>
      <c r="E18" s="51" t="n"/>
      <c r="F18" s="50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50">
      <c r="A19" s="7" t="n"/>
      <c r="B19" s="47" t="n"/>
      <c r="C19" s="48" t="n"/>
      <c r="D19" s="51" t="n"/>
      <c r="E19" s="51" t="n"/>
      <c r="F19" s="50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50">
      <c r="A20" s="7" t="n"/>
      <c r="B20" s="47" t="n"/>
      <c r="C20" s="48" t="n"/>
      <c r="D20" s="51" t="n"/>
      <c r="E20" s="51" t="n"/>
      <c r="F20" s="50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50">
      <c r="A21" s="7" t="n"/>
      <c r="B21" s="52" t="n"/>
      <c r="C21" s="53" t="n"/>
      <c r="D21" s="54" t="n"/>
      <c r="E21" s="54" t="n"/>
      <c r="F21" s="55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50">
      <c r="A22" s="7" t="n"/>
      <c r="B22" s="27" t="n"/>
      <c r="C22" s="28" t="n"/>
      <c r="D22" s="28" t="n"/>
      <c r="E22" s="28" t="n"/>
      <c r="F22" s="28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50">
      <c r="A23" s="7" t="n"/>
      <c r="B23" s="27" t="n"/>
      <c r="C23" s="28" t="n"/>
      <c r="D23" s="28" t="n"/>
      <c r="E23" s="28" t="n"/>
      <c r="F23" s="28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50">
      <c r="A24" s="7" t="n"/>
      <c r="B24" s="27" t="n"/>
      <c r="C24" s="28" t="n"/>
      <c r="D24" s="28" t="n"/>
      <c r="E24" s="28" t="n"/>
      <c r="F24" s="28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50">
      <c r="A25" s="7" t="n"/>
      <c r="B25" s="27" t="n"/>
      <c r="C25" s="28" t="n"/>
      <c r="D25" s="28" t="n"/>
      <c r="E25" s="28" t="n"/>
      <c r="F25" s="28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50">
      <c r="A26" s="7" t="n"/>
      <c r="B26" s="27" t="n"/>
      <c r="C26" s="28" t="n"/>
      <c r="D26" s="28" t="n"/>
      <c r="E26" s="28" t="n"/>
      <c r="F26" s="28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50">
      <c r="A27" s="7" t="n"/>
      <c r="B27" s="27" t="n"/>
      <c r="C27" s="28" t="n"/>
      <c r="D27" s="28" t="n"/>
      <c r="E27" s="28" t="n"/>
      <c r="F27" s="28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50">
      <c r="A28" s="7" t="n"/>
      <c r="B28" s="27" t="n"/>
      <c r="C28" s="28" t="n"/>
      <c r="D28" s="28" t="n"/>
      <c r="E28" s="28" t="n"/>
      <c r="F28" s="28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50">
      <c r="A29" s="7" t="n"/>
      <c r="B29" s="27" t="n"/>
      <c r="C29" s="28" t="n"/>
      <c r="D29" s="28" t="n"/>
      <c r="E29" s="28" t="n"/>
      <c r="F29" s="28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50">
      <c r="A30" s="7" t="n"/>
      <c r="B30" s="27" t="n"/>
      <c r="C30" s="28" t="n"/>
      <c r="D30" s="28" t="n"/>
      <c r="E30" s="28" t="n"/>
      <c r="F30" s="28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50">
      <c r="A31" s="7" t="n"/>
      <c r="B31" s="27" t="n"/>
      <c r="C31" s="28" t="n"/>
      <c r="D31" s="28" t="n"/>
      <c r="E31" s="28" t="n"/>
      <c r="F31" s="28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50">
      <c r="A32" s="7" t="n"/>
      <c r="B32" s="27" t="n"/>
      <c r="C32" s="28" t="n"/>
      <c r="D32" s="28" t="n"/>
      <c r="E32" s="28" t="n"/>
      <c r="F32" s="28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50">
      <c r="A33" s="7" t="n"/>
      <c r="B33" s="27" t="n"/>
      <c r="C33" s="28" t="n"/>
      <c r="D33" s="28" t="n"/>
      <c r="E33" s="28" t="n"/>
      <c r="F33" s="28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50">
      <c r="A34" s="7" t="n"/>
      <c r="B34" s="27" t="n"/>
      <c r="C34" s="28" t="n"/>
      <c r="D34" s="28" t="n"/>
      <c r="E34" s="28" t="n"/>
      <c r="F34" s="28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50">
      <c r="A35" s="7" t="n"/>
      <c r="B35" s="27" t="n"/>
      <c r="C35" s="28" t="n"/>
      <c r="D35" s="28" t="n"/>
      <c r="E35" s="28" t="n"/>
      <c r="F35" s="28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50">
      <c r="A36" s="7" t="n"/>
      <c r="B36" s="27" t="n"/>
      <c r="C36" s="28" t="n"/>
      <c r="D36" s="28" t="n"/>
      <c r="E36" s="28" t="n"/>
      <c r="F36" s="28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50">
      <c r="A37" s="7" t="n"/>
      <c r="B37" s="27" t="n"/>
      <c r="C37" s="28" t="n"/>
      <c r="D37" s="28" t="n"/>
      <c r="E37" s="28" t="n"/>
      <c r="F37" s="28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50">
      <c r="A38" s="7" t="n"/>
      <c r="B38" s="27" t="n"/>
      <c r="C38" s="28" t="n"/>
      <c r="D38" s="28" t="n"/>
      <c r="E38" s="28" t="n"/>
      <c r="F38" s="28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50">
      <c r="A39" s="7" t="n"/>
      <c r="B39" s="27" t="n"/>
      <c r="C39" s="28" t="n"/>
      <c r="D39" s="28" t="n"/>
      <c r="E39" s="28" t="n"/>
      <c r="F39" s="28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50">
      <c r="A40" s="7" t="n"/>
      <c r="B40" s="27" t="n"/>
      <c r="C40" s="28" t="n"/>
      <c r="D40" s="28" t="n"/>
      <c r="E40" s="28" t="n"/>
      <c r="F40" s="28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50">
      <c r="A41" s="7" t="n"/>
      <c r="B41" s="27" t="n"/>
      <c r="C41" s="28" t="n"/>
      <c r="D41" s="28" t="n"/>
      <c r="E41" s="28" t="n"/>
      <c r="F41" s="28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50">
      <c r="A42" s="7" t="n"/>
      <c r="B42" s="27" t="n"/>
      <c r="C42" s="28" t="n"/>
      <c r="D42" s="28" t="n"/>
      <c r="E42" s="28" t="n"/>
      <c r="F42" s="28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50">
      <c r="A43" s="7" t="n"/>
      <c r="B43" s="27" t="n"/>
      <c r="C43" s="28" t="n"/>
      <c r="D43" s="28" t="n"/>
      <c r="E43" s="28" t="n"/>
      <c r="F43" s="28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50">
      <c r="A44" s="7" t="n"/>
      <c r="B44" s="27" t="n"/>
      <c r="C44" s="28" t="n"/>
      <c r="D44" s="28" t="n"/>
      <c r="E44" s="28" t="n"/>
      <c r="F44" s="28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50">
      <c r="A45" s="7" t="n"/>
      <c r="B45" s="27" t="n"/>
      <c r="C45" s="28" t="n"/>
      <c r="D45" s="28" t="n"/>
      <c r="E45" s="28" t="n"/>
      <c r="F45" s="28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50">
      <c r="A46" s="7" t="n"/>
      <c r="B46" s="27" t="n"/>
      <c r="C46" s="28" t="n"/>
      <c r="D46" s="28" t="n"/>
      <c r="E46" s="28" t="n"/>
      <c r="F46" s="28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50">
      <c r="A47" s="7" t="n"/>
      <c r="B47" s="27" t="n"/>
      <c r="C47" s="28" t="n"/>
      <c r="D47" s="28" t="n"/>
      <c r="E47" s="28" t="n"/>
      <c r="F47" s="28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50">
      <c r="A48" s="7" t="n"/>
      <c r="B48" s="27" t="n"/>
      <c r="C48" s="28" t="n"/>
      <c r="D48" s="28" t="n"/>
      <c r="E48" s="28" t="n"/>
      <c r="F48" s="28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50">
      <c r="A49" s="7" t="n"/>
      <c r="B49" s="27" t="n"/>
      <c r="C49" s="28" t="n"/>
      <c r="D49" s="28" t="n"/>
      <c r="E49" s="28" t="n"/>
      <c r="F49" s="28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50">
      <c r="A50" s="7" t="n"/>
      <c r="B50" s="27" t="n"/>
      <c r="C50" s="28" t="n"/>
      <c r="D50" s="28" t="n"/>
      <c r="E50" s="28" t="n"/>
      <c r="F50" s="28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50">
      <c r="A51" s="7" t="n"/>
      <c r="B51" s="27" t="n"/>
      <c r="C51" s="28" t="n"/>
      <c r="D51" s="28" t="n"/>
      <c r="E51" s="28" t="n"/>
      <c r="F51" s="28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50">
      <c r="A52" s="7" t="n"/>
      <c r="B52" s="27" t="n"/>
      <c r="C52" s="28" t="n"/>
      <c r="D52" s="28" t="n"/>
      <c r="E52" s="28" t="n"/>
      <c r="F52" s="28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50">
      <c r="A53" s="7" t="n"/>
      <c r="B53" s="27" t="n"/>
      <c r="C53" s="28" t="n"/>
      <c r="D53" s="28" t="n"/>
      <c r="E53" s="28" t="n"/>
      <c r="F53" s="28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50">
      <c r="A54" s="7" t="n"/>
      <c r="B54" s="27" t="n"/>
      <c r="C54" s="28" t="n"/>
      <c r="D54" s="28" t="n"/>
      <c r="E54" s="28" t="n"/>
      <c r="F54" s="28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50">
      <c r="A55" s="7" t="n"/>
      <c r="B55" s="27" t="n"/>
      <c r="C55" s="28" t="n"/>
      <c r="D55" s="28" t="n"/>
      <c r="E55" s="28" t="n"/>
      <c r="F55" s="28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50">
      <c r="A56" s="7" t="n"/>
      <c r="B56" s="27" t="n"/>
      <c r="C56" s="28" t="n"/>
      <c r="D56" s="28" t="n"/>
      <c r="E56" s="28" t="n"/>
      <c r="F56" s="28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50">
      <c r="A57" s="7" t="n"/>
      <c r="B57" s="27" t="n"/>
      <c r="C57" s="28" t="n"/>
      <c r="D57" s="28" t="n"/>
      <c r="E57" s="28" t="n"/>
      <c r="F57" s="28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50">
      <c r="A58" s="7" t="n"/>
      <c r="B58" s="27" t="n"/>
      <c r="C58" s="28" t="n"/>
      <c r="D58" s="28" t="n"/>
      <c r="E58" s="28" t="n"/>
      <c r="F58" s="28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50">
      <c r="A59" s="7" t="n"/>
      <c r="B59" s="27" t="n"/>
      <c r="C59" s="28" t="n"/>
      <c r="D59" s="28" t="n"/>
      <c r="E59" s="28" t="n"/>
      <c r="F59" s="28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50">
      <c r="A60" s="7" t="n"/>
      <c r="B60" s="27" t="n"/>
      <c r="C60" s="28" t="n"/>
      <c r="D60" s="28" t="n"/>
      <c r="E60" s="28" t="n"/>
      <c r="F60" s="28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50">
      <c r="A61" s="7" t="n"/>
      <c r="B61" s="27" t="n"/>
      <c r="C61" s="28" t="n"/>
      <c r="D61" s="28" t="n"/>
      <c r="E61" s="28" t="n"/>
      <c r="F61" s="28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50">
      <c r="A62" s="7" t="n"/>
      <c r="B62" s="27" t="n"/>
      <c r="C62" s="28" t="n"/>
      <c r="D62" s="28" t="n"/>
      <c r="E62" s="28" t="n"/>
      <c r="F62" s="28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50">
      <c r="A63" s="7" t="n"/>
      <c r="B63" s="27" t="n"/>
      <c r="C63" s="28" t="n"/>
      <c r="D63" s="28" t="n"/>
      <c r="E63" s="28" t="n"/>
      <c r="F63" s="28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50">
      <c r="A64" s="7" t="n"/>
      <c r="B64" s="27" t="n"/>
      <c r="C64" s="28" t="n"/>
      <c r="D64" s="28" t="n"/>
      <c r="E64" s="28" t="n"/>
      <c r="F64" s="28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50">
      <c r="A65" s="7" t="n"/>
      <c r="B65" s="27" t="n"/>
      <c r="C65" s="28" t="n"/>
      <c r="D65" s="28" t="n"/>
      <c r="E65" s="28" t="n"/>
      <c r="F65" s="28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50">
      <c r="A66" s="7" t="n"/>
      <c r="B66" s="27" t="n"/>
      <c r="C66" s="28" t="n"/>
      <c r="D66" s="28" t="n"/>
      <c r="E66" s="28" t="n"/>
      <c r="F66" s="28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50">
      <c r="A67" s="7" t="n"/>
      <c r="B67" s="27" t="n"/>
      <c r="C67" s="28" t="n"/>
      <c r="D67" s="28" t="n"/>
      <c r="E67" s="28" t="n"/>
      <c r="F67" s="28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50">
      <c r="A68" s="7" t="n"/>
      <c r="B68" s="27" t="n"/>
      <c r="C68" s="28" t="n"/>
      <c r="D68" s="28" t="n"/>
      <c r="E68" s="28" t="n"/>
      <c r="F68" s="28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50">
      <c r="A69" s="7" t="n"/>
      <c r="B69" s="27" t="n"/>
      <c r="C69" s="28" t="n"/>
      <c r="D69" s="28" t="n"/>
      <c r="E69" s="28" t="n"/>
      <c r="F69" s="28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50">
      <c r="A70" s="7" t="n"/>
      <c r="B70" s="27" t="n"/>
      <c r="C70" s="28" t="n"/>
      <c r="D70" s="28" t="n"/>
      <c r="E70" s="28" t="n"/>
      <c r="F70" s="28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50">
      <c r="A71" s="7" t="n"/>
      <c r="B71" s="27" t="n"/>
      <c r="C71" s="28" t="n"/>
      <c r="D71" s="28" t="n"/>
      <c r="E71" s="28" t="n"/>
      <c r="F71" s="28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50">
      <c r="A72" s="7" t="n"/>
      <c r="B72" s="27" t="n"/>
      <c r="C72" s="28" t="n"/>
      <c r="D72" s="28" t="n"/>
      <c r="E72" s="28" t="n"/>
      <c r="F72" s="28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50">
      <c r="A73" s="7" t="n"/>
      <c r="B73" s="27" t="n"/>
      <c r="C73" s="28" t="n"/>
      <c r="D73" s="28" t="n"/>
      <c r="E73" s="28" t="n"/>
      <c r="F73" s="28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50">
      <c r="A74" s="7" t="n"/>
      <c r="B74" s="27" t="n"/>
      <c r="C74" s="28" t="n"/>
      <c r="D74" s="28" t="n"/>
      <c r="E74" s="28" t="n"/>
      <c r="F74" s="28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50">
      <c r="A75" s="7" t="n"/>
      <c r="B75" s="27" t="n"/>
      <c r="C75" s="28" t="n"/>
      <c r="D75" s="28" t="n"/>
      <c r="E75" s="28" t="n"/>
      <c r="F75" s="28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50">
      <c r="A76" s="7" t="n"/>
      <c r="B76" s="27" t="n"/>
      <c r="C76" s="28" t="n"/>
      <c r="D76" s="28" t="n"/>
      <c r="E76" s="28" t="n"/>
      <c r="F76" s="28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50">
      <c r="A77" s="7" t="n"/>
      <c r="B77" s="27" t="n"/>
      <c r="C77" s="28" t="n"/>
      <c r="D77" s="28" t="n"/>
      <c r="E77" s="28" t="n"/>
      <c r="F77" s="28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50">
      <c r="A78" s="7" t="n"/>
      <c r="B78" s="27" t="n"/>
      <c r="C78" s="28" t="n"/>
      <c r="D78" s="28" t="n"/>
      <c r="E78" s="28" t="n"/>
      <c r="F78" s="28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50">
      <c r="A79" s="7" t="n"/>
      <c r="B79" s="27" t="n"/>
      <c r="C79" s="28" t="n"/>
      <c r="D79" s="28" t="n"/>
      <c r="E79" s="28" t="n"/>
      <c r="F79" s="28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50">
      <c r="A80" s="7" t="n"/>
      <c r="B80" s="27" t="n"/>
      <c r="C80" s="28" t="n"/>
      <c r="D80" s="28" t="n"/>
      <c r="E80" s="28" t="n"/>
      <c r="F80" s="28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50">
      <c r="A81" s="7" t="n"/>
      <c r="B81" s="27" t="n"/>
      <c r="C81" s="28" t="n"/>
      <c r="D81" s="28" t="n"/>
      <c r="E81" s="28" t="n"/>
      <c r="F81" s="28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50">
      <c r="A82" s="7" t="n"/>
      <c r="B82" s="27" t="n"/>
      <c r="C82" s="28" t="n"/>
      <c r="D82" s="28" t="n"/>
      <c r="E82" s="28" t="n"/>
      <c r="F82" s="28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50">
      <c r="A83" s="7" t="n"/>
      <c r="B83" s="27" t="n"/>
      <c r="C83" s="28" t="n"/>
      <c r="D83" s="28" t="n"/>
      <c r="E83" s="28" t="n"/>
      <c r="F83" s="28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50">
      <c r="A84" s="7" t="n"/>
      <c r="B84" s="27" t="n"/>
      <c r="C84" s="28" t="n"/>
      <c r="D84" s="28" t="n"/>
      <c r="E84" s="28" t="n"/>
      <c r="F84" s="28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50">
      <c r="A85" s="7" t="n"/>
      <c r="B85" s="27" t="n"/>
      <c r="C85" s="28" t="n"/>
      <c r="D85" s="28" t="n"/>
      <c r="E85" s="28" t="n"/>
      <c r="F85" s="28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50">
      <c r="A86" s="7" t="n"/>
      <c r="B86" s="27" t="n"/>
      <c r="C86" s="28" t="n"/>
      <c r="D86" s="28" t="n"/>
      <c r="E86" s="28" t="n"/>
      <c r="F86" s="28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50">
      <c r="A87" s="7" t="n"/>
      <c r="B87" s="27" t="n"/>
      <c r="C87" s="28" t="n"/>
      <c r="D87" s="28" t="n"/>
      <c r="E87" s="28" t="n"/>
      <c r="F87" s="28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50">
      <c r="A88" s="7" t="n"/>
      <c r="B88" s="27" t="n"/>
      <c r="C88" s="28" t="n"/>
      <c r="D88" s="28" t="n"/>
      <c r="E88" s="28" t="n"/>
      <c r="F88" s="28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50">
      <c r="A89" s="7" t="n"/>
      <c r="B89" s="27" t="n"/>
      <c r="C89" s="28" t="n"/>
      <c r="D89" s="28" t="n"/>
      <c r="E89" s="28" t="n"/>
      <c r="F89" s="28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50">
      <c r="A90" s="7" t="n"/>
      <c r="B90" s="27" t="n"/>
      <c r="C90" s="28" t="n"/>
      <c r="D90" s="28" t="n"/>
      <c r="E90" s="28" t="n"/>
      <c r="F90" s="28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50">
      <c r="A91" s="7" t="n"/>
      <c r="B91" s="27" t="n"/>
      <c r="C91" s="28" t="n"/>
      <c r="D91" s="28" t="n"/>
      <c r="E91" s="28" t="n"/>
      <c r="F91" s="28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50">
      <c r="A92" s="7" t="n"/>
      <c r="B92" s="27" t="n"/>
      <c r="C92" s="28" t="n"/>
      <c r="D92" s="28" t="n"/>
      <c r="E92" s="28" t="n"/>
      <c r="F92" s="28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50">
      <c r="A93" s="7" t="n"/>
      <c r="B93" s="27" t="n"/>
      <c r="C93" s="28" t="n"/>
      <c r="D93" s="28" t="n"/>
      <c r="E93" s="28" t="n"/>
      <c r="F93" s="28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50">
      <c r="A94" s="7" t="n"/>
      <c r="B94" s="27" t="n"/>
      <c r="C94" s="28" t="n"/>
      <c r="D94" s="28" t="n"/>
      <c r="E94" s="28" t="n"/>
      <c r="F94" s="28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50">
      <c r="A95" s="7" t="n"/>
      <c r="B95" s="27" t="n"/>
      <c r="C95" s="28" t="n"/>
      <c r="D95" s="28" t="n"/>
      <c r="E95" s="28" t="n"/>
      <c r="F95" s="28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50">
      <c r="A96" s="7" t="n"/>
      <c r="B96" s="27" t="n"/>
      <c r="C96" s="28" t="n"/>
      <c r="D96" s="28" t="n"/>
      <c r="E96" s="28" t="n"/>
      <c r="F96" s="28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50">
      <c r="A97" s="7" t="n"/>
      <c r="B97" s="27" t="n"/>
      <c r="C97" s="28" t="n"/>
      <c r="D97" s="28" t="n"/>
      <c r="E97" s="28" t="n"/>
      <c r="F97" s="28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50">
      <c r="A98" s="7" t="n"/>
      <c r="B98" s="27" t="n"/>
      <c r="C98" s="28" t="n"/>
      <c r="D98" s="28" t="n"/>
      <c r="E98" s="28" t="n"/>
      <c r="F98" s="28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50">
      <c r="A99" s="7" t="n"/>
      <c r="B99" s="27" t="n"/>
      <c r="C99" s="28" t="n"/>
      <c r="D99" s="28" t="n"/>
      <c r="E99" s="28" t="n"/>
      <c r="F99" s="28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50">
      <c r="A100" s="7" t="n"/>
      <c r="B100" s="27" t="n"/>
      <c r="C100" s="28" t="n"/>
      <c r="D100" s="28" t="n"/>
      <c r="E100" s="28" t="n"/>
      <c r="F100" s="28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50">
      <c r="A101" s="7" t="n"/>
      <c r="B101" s="27" t="n"/>
      <c r="C101" s="28" t="n"/>
      <c r="D101" s="28" t="n"/>
      <c r="E101" s="28" t="n"/>
      <c r="F101" s="28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50">
      <c r="A102" s="7" t="n"/>
      <c r="B102" s="27" t="n"/>
      <c r="C102" s="28" t="n"/>
      <c r="D102" s="28" t="n"/>
      <c r="E102" s="28" t="n"/>
      <c r="F102" s="28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50">
      <c r="A103" s="7" t="n"/>
      <c r="B103" s="27" t="n"/>
      <c r="C103" s="28" t="n"/>
      <c r="D103" s="28" t="n"/>
      <c r="E103" s="28" t="n"/>
      <c r="F103" s="28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50">
      <c r="A104" s="7" t="n"/>
      <c r="B104" s="27" t="n"/>
      <c r="C104" s="28" t="n"/>
      <c r="D104" s="28" t="n"/>
      <c r="E104" s="28" t="n"/>
      <c r="F104" s="28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50">
      <c r="A105" s="7" t="n"/>
      <c r="B105" s="27" t="n"/>
      <c r="C105" s="28" t="n"/>
      <c r="D105" s="28" t="n"/>
      <c r="E105" s="28" t="n"/>
      <c r="F105" s="28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50">
      <c r="A106" s="7" t="n"/>
      <c r="B106" s="27" t="n"/>
      <c r="C106" s="28" t="n"/>
      <c r="D106" s="28" t="n"/>
      <c r="E106" s="28" t="n"/>
      <c r="F106" s="28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50">
      <c r="A107" s="7" t="n"/>
      <c r="B107" s="27" t="n"/>
      <c r="C107" s="28" t="n"/>
      <c r="D107" s="28" t="n"/>
      <c r="E107" s="28" t="n"/>
      <c r="F107" s="28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50">
      <c r="A108" s="7" t="n"/>
      <c r="B108" s="27" t="n"/>
      <c r="C108" s="28" t="n"/>
      <c r="D108" s="28" t="n"/>
      <c r="E108" s="28" t="n"/>
      <c r="F108" s="28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50">
      <c r="A109" s="7" t="n"/>
      <c r="B109" s="27" t="n"/>
      <c r="C109" s="28" t="n"/>
      <c r="D109" s="28" t="n"/>
      <c r="E109" s="28" t="n"/>
      <c r="F109" s="28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50">
      <c r="A110" s="7" t="n"/>
      <c r="B110" s="27" t="n"/>
      <c r="C110" s="28" t="n"/>
      <c r="D110" s="28" t="n"/>
      <c r="E110" s="28" t="n"/>
      <c r="F110" s="28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50">
      <c r="A111" s="7" t="n"/>
      <c r="B111" s="27" t="n"/>
      <c r="C111" s="28" t="n"/>
      <c r="D111" s="28" t="n"/>
      <c r="E111" s="28" t="n"/>
      <c r="F111" s="28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50">
      <c r="A112" s="7" t="n"/>
      <c r="B112" s="27" t="n"/>
      <c r="C112" s="28" t="n"/>
      <c r="D112" s="28" t="n"/>
      <c r="E112" s="28" t="n"/>
      <c r="F112" s="28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50">
      <c r="A113" s="7" t="n"/>
      <c r="B113" s="27" t="n"/>
      <c r="C113" s="28" t="n"/>
      <c r="D113" s="28" t="n"/>
      <c r="E113" s="28" t="n"/>
      <c r="F113" s="28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50">
      <c r="A114" s="7" t="n"/>
      <c r="B114" s="27" t="n"/>
      <c r="C114" s="28" t="n"/>
      <c r="D114" s="28" t="n"/>
      <c r="E114" s="28" t="n"/>
      <c r="F114" s="28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50">
      <c r="A115" s="7" t="n"/>
      <c r="B115" s="27" t="n"/>
      <c r="C115" s="28" t="n"/>
      <c r="D115" s="28" t="n"/>
      <c r="E115" s="28" t="n"/>
      <c r="F115" s="28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50">
      <c r="A116" s="7" t="n"/>
      <c r="B116" s="27" t="n"/>
      <c r="C116" s="28" t="n"/>
      <c r="D116" s="28" t="n"/>
      <c r="E116" s="28" t="n"/>
      <c r="F116" s="28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50">
      <c r="A117" s="7" t="n"/>
      <c r="B117" s="27" t="n"/>
      <c r="C117" s="28" t="n"/>
      <c r="D117" s="28" t="n"/>
      <c r="E117" s="28" t="n"/>
      <c r="F117" s="28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50">
      <c r="A118" s="7" t="n"/>
      <c r="B118" s="27" t="n"/>
      <c r="C118" s="28" t="n"/>
      <c r="D118" s="28" t="n"/>
      <c r="E118" s="28" t="n"/>
      <c r="F118" s="28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50">
      <c r="A119" s="7" t="n"/>
      <c r="B119" s="27" t="n"/>
      <c r="C119" s="28" t="n"/>
      <c r="D119" s="28" t="n"/>
      <c r="E119" s="28" t="n"/>
      <c r="F119" s="28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50">
      <c r="A120" s="7" t="n"/>
      <c r="B120" s="27" t="n"/>
      <c r="C120" s="28" t="n"/>
      <c r="D120" s="28" t="n"/>
      <c r="E120" s="28" t="n"/>
      <c r="F120" s="28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50">
      <c r="A121" s="7" t="n"/>
      <c r="B121" s="27" t="n"/>
      <c r="C121" s="28" t="n"/>
      <c r="D121" s="28" t="n"/>
      <c r="E121" s="28" t="n"/>
      <c r="F121" s="28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50">
      <c r="A122" s="7" t="n"/>
      <c r="B122" s="27" t="n"/>
      <c r="C122" s="28" t="n"/>
      <c r="D122" s="28" t="n"/>
      <c r="E122" s="28" t="n"/>
      <c r="F122" s="28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50">
      <c r="A123" s="7" t="n"/>
      <c r="B123" s="27" t="n"/>
      <c r="C123" s="28" t="n"/>
      <c r="D123" s="28" t="n"/>
      <c r="E123" s="28" t="n"/>
      <c r="F123" s="28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50">
      <c r="A124" s="7" t="n"/>
      <c r="B124" s="27" t="n"/>
      <c r="C124" s="28" t="n"/>
      <c r="D124" s="28" t="n"/>
      <c r="E124" s="28" t="n"/>
      <c r="F124" s="28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50">
      <c r="A125" s="7" t="n"/>
      <c r="B125" s="27" t="n"/>
      <c r="C125" s="28" t="n"/>
      <c r="D125" s="28" t="n"/>
      <c r="E125" s="28" t="n"/>
      <c r="F125" s="28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50">
      <c r="A126" s="7" t="n"/>
      <c r="B126" s="27" t="n"/>
      <c r="C126" s="28" t="n"/>
      <c r="D126" s="28" t="n"/>
      <c r="E126" s="28" t="n"/>
      <c r="F126" s="28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50">
      <c r="A127" s="7" t="n"/>
      <c r="B127" s="27" t="n"/>
      <c r="C127" s="28" t="n"/>
      <c r="D127" s="28" t="n"/>
      <c r="E127" s="28" t="n"/>
      <c r="F127" s="28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50">
      <c r="A128" s="7" t="n"/>
      <c r="B128" s="27" t="n"/>
      <c r="C128" s="28" t="n"/>
      <c r="D128" s="28" t="n"/>
      <c r="E128" s="28" t="n"/>
      <c r="F128" s="28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50">
      <c r="A129" s="7" t="n"/>
      <c r="B129" s="27" t="n"/>
      <c r="C129" s="28" t="n"/>
      <c r="D129" s="28" t="n"/>
      <c r="E129" s="28" t="n"/>
      <c r="F129" s="28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50">
      <c r="A130" s="7" t="n"/>
      <c r="B130" s="27" t="n"/>
      <c r="C130" s="28" t="n"/>
      <c r="D130" s="28" t="n"/>
      <c r="E130" s="28" t="n"/>
      <c r="F130" s="28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50">
      <c r="A131" s="7" t="n"/>
      <c r="B131" s="27" t="n"/>
      <c r="C131" s="28" t="n"/>
      <c r="D131" s="28" t="n"/>
      <c r="E131" s="28" t="n"/>
      <c r="F131" s="28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50">
      <c r="A132" s="7" t="n"/>
      <c r="B132" s="27" t="n"/>
      <c r="C132" s="28" t="n"/>
      <c r="D132" s="28" t="n"/>
      <c r="E132" s="28" t="n"/>
      <c r="F132" s="28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50">
      <c r="A133" s="7" t="n"/>
      <c r="B133" s="27" t="n"/>
      <c r="C133" s="28" t="n"/>
      <c r="D133" s="28" t="n"/>
      <c r="E133" s="28" t="n"/>
      <c r="F133" s="28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50">
      <c r="A134" s="7" t="n"/>
      <c r="B134" s="27" t="n"/>
      <c r="C134" s="28" t="n"/>
      <c r="D134" s="28" t="n"/>
      <c r="E134" s="28" t="n"/>
      <c r="F134" s="28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50">
      <c r="A135" s="7" t="n"/>
      <c r="B135" s="27" t="n"/>
      <c r="C135" s="28" t="n"/>
      <c r="D135" s="28" t="n"/>
      <c r="E135" s="28" t="n"/>
      <c r="F135" s="28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50">
      <c r="A136" s="7" t="n"/>
      <c r="B136" s="27" t="n"/>
      <c r="C136" s="28" t="n"/>
      <c r="D136" s="28" t="n"/>
      <c r="E136" s="28" t="n"/>
      <c r="F136" s="28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50">
      <c r="A137" s="7" t="n"/>
      <c r="B137" s="27" t="n"/>
      <c r="C137" s="28" t="n"/>
      <c r="D137" s="28" t="n"/>
      <c r="E137" s="28" t="n"/>
      <c r="F137" s="28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50">
      <c r="A138" s="7" t="n"/>
      <c r="B138" s="27" t="n"/>
      <c r="C138" s="28" t="n"/>
      <c r="D138" s="28" t="n"/>
      <c r="E138" s="28" t="n"/>
      <c r="F138" s="28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50">
      <c r="A139" s="7" t="n"/>
      <c r="B139" s="27" t="n"/>
      <c r="C139" s="28" t="n"/>
      <c r="D139" s="28" t="n"/>
      <c r="E139" s="28" t="n"/>
      <c r="F139" s="28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50">
      <c r="A140" s="7" t="n"/>
      <c r="B140" s="27" t="n"/>
      <c r="C140" s="28" t="n"/>
      <c r="D140" s="28" t="n"/>
      <c r="E140" s="28" t="n"/>
      <c r="F140" s="28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50">
      <c r="A141" s="7" t="n"/>
      <c r="B141" s="27" t="n"/>
      <c r="C141" s="28" t="n"/>
      <c r="D141" s="28" t="n"/>
      <c r="E141" s="28" t="n"/>
      <c r="F141" s="28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50">
      <c r="A142" s="7" t="n"/>
      <c r="B142" s="27" t="n"/>
      <c r="C142" s="28" t="n"/>
      <c r="D142" s="28" t="n"/>
      <c r="E142" s="28" t="n"/>
      <c r="F142" s="28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50">
      <c r="A143" s="7" t="n"/>
      <c r="B143" s="27" t="n"/>
      <c r="C143" s="28" t="n"/>
      <c r="D143" s="28" t="n"/>
      <c r="E143" s="28" t="n"/>
      <c r="F143" s="28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50">
      <c r="A144" s="7" t="n"/>
      <c r="B144" s="27" t="n"/>
      <c r="C144" s="28" t="n"/>
      <c r="D144" s="28" t="n"/>
      <c r="E144" s="28" t="n"/>
      <c r="F144" s="28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50">
      <c r="A145" s="7" t="n"/>
      <c r="B145" s="27" t="n"/>
      <c r="C145" s="28" t="n"/>
      <c r="D145" s="28" t="n"/>
      <c r="E145" s="28" t="n"/>
      <c r="F145" s="28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50">
      <c r="A146" s="7" t="n"/>
      <c r="B146" s="27" t="n"/>
      <c r="C146" s="28" t="n"/>
      <c r="D146" s="28" t="n"/>
      <c r="E146" s="28" t="n"/>
      <c r="F146" s="28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50">
      <c r="A147" s="7" t="n"/>
      <c r="B147" s="27" t="n"/>
      <c r="C147" s="28" t="n"/>
      <c r="D147" s="28" t="n"/>
      <c r="E147" s="28" t="n"/>
      <c r="F147" s="28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50">
      <c r="A148" s="7" t="n"/>
      <c r="B148" s="27" t="n"/>
      <c r="C148" s="28" t="n"/>
      <c r="D148" s="28" t="n"/>
      <c r="E148" s="28" t="n"/>
      <c r="F148" s="28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50">
      <c r="A149" s="7" t="n"/>
      <c r="B149" s="27" t="n"/>
      <c r="C149" s="28" t="n"/>
      <c r="D149" s="28" t="n"/>
      <c r="E149" s="28" t="n"/>
      <c r="F149" s="28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50">
      <c r="A150" s="7" t="n"/>
      <c r="B150" s="27" t="n"/>
      <c r="C150" s="28" t="n"/>
      <c r="D150" s="28" t="n"/>
      <c r="E150" s="28" t="n"/>
      <c r="F150" s="28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50">
      <c r="A151" s="7" t="n"/>
      <c r="B151" s="27" t="n"/>
      <c r="C151" s="28" t="n"/>
      <c r="D151" s="28" t="n"/>
      <c r="E151" s="28" t="n"/>
      <c r="F151" s="28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50">
      <c r="A152" s="7" t="n"/>
      <c r="B152" s="27" t="n"/>
      <c r="C152" s="28" t="n"/>
      <c r="D152" s="28" t="n"/>
      <c r="E152" s="28" t="n"/>
      <c r="F152" s="28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50">
      <c r="A153" s="7" t="n"/>
      <c r="B153" s="27" t="n"/>
      <c r="C153" s="28" t="n"/>
      <c r="D153" s="28" t="n"/>
      <c r="E153" s="28" t="n"/>
      <c r="F153" s="28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50">
      <c r="A154" s="7" t="n"/>
      <c r="B154" s="27" t="n"/>
      <c r="C154" s="28" t="n"/>
      <c r="D154" s="28" t="n"/>
      <c r="E154" s="28" t="n"/>
      <c r="F154" s="28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50">
      <c r="A155" s="7" t="n"/>
      <c r="B155" s="27" t="n"/>
      <c r="C155" s="28" t="n"/>
      <c r="D155" s="28" t="n"/>
      <c r="E155" s="28" t="n"/>
      <c r="F155" s="28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50">
      <c r="A156" s="7" t="n"/>
      <c r="B156" s="27" t="n"/>
      <c r="C156" s="28" t="n"/>
      <c r="D156" s="28" t="n"/>
      <c r="E156" s="28" t="n"/>
      <c r="F156" s="28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50">
      <c r="A157" s="7" t="n"/>
      <c r="B157" s="27" t="n"/>
      <c r="C157" s="28" t="n"/>
      <c r="D157" s="28" t="n"/>
      <c r="E157" s="28" t="n"/>
      <c r="F157" s="28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50">
      <c r="A158" s="7" t="n"/>
      <c r="B158" s="27" t="n"/>
      <c r="C158" s="28" t="n"/>
      <c r="D158" s="28" t="n"/>
      <c r="E158" s="28" t="n"/>
      <c r="F158" s="28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50">
      <c r="A159" s="7" t="n"/>
      <c r="B159" s="27" t="n"/>
      <c r="C159" s="28" t="n"/>
      <c r="D159" s="28" t="n"/>
      <c r="E159" s="28" t="n"/>
      <c r="F159" s="28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50">
      <c r="A160" s="7" t="n"/>
      <c r="B160" s="27" t="n"/>
      <c r="C160" s="28" t="n"/>
      <c r="D160" s="28" t="n"/>
      <c r="E160" s="28" t="n"/>
      <c r="F160" s="28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50">
      <c r="A161" s="7" t="n"/>
      <c r="B161" s="27" t="n"/>
      <c r="C161" s="28" t="n"/>
      <c r="D161" s="28" t="n"/>
      <c r="E161" s="28" t="n"/>
      <c r="F161" s="28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50">
      <c r="A162" s="7" t="n"/>
      <c r="B162" s="27" t="n"/>
      <c r="C162" s="28" t="n"/>
      <c r="D162" s="28" t="n"/>
      <c r="E162" s="28" t="n"/>
      <c r="F162" s="28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50">
      <c r="A163" s="7" t="n"/>
      <c r="B163" s="27" t="n"/>
      <c r="C163" s="28" t="n"/>
      <c r="D163" s="28" t="n"/>
      <c r="E163" s="28" t="n"/>
      <c r="F163" s="28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50">
      <c r="A164" s="7" t="n"/>
      <c r="B164" s="27" t="n"/>
      <c r="C164" s="28" t="n"/>
      <c r="D164" s="28" t="n"/>
      <c r="E164" s="28" t="n"/>
      <c r="F164" s="28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50">
      <c r="A165" s="7" t="n"/>
      <c r="B165" s="27" t="n"/>
      <c r="C165" s="28" t="n"/>
      <c r="D165" s="28" t="n"/>
      <c r="E165" s="28" t="n"/>
      <c r="F165" s="28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50">
      <c r="A166" s="7" t="n"/>
      <c r="B166" s="27" t="n"/>
      <c r="C166" s="28" t="n"/>
      <c r="D166" s="28" t="n"/>
      <c r="E166" s="28" t="n"/>
      <c r="F166" s="28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50">
      <c r="A167" s="7" t="n"/>
      <c r="B167" s="27" t="n"/>
      <c r="C167" s="28" t="n"/>
      <c r="D167" s="28" t="n"/>
      <c r="E167" s="28" t="n"/>
      <c r="F167" s="28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50">
      <c r="A168" s="7" t="n"/>
      <c r="B168" s="27" t="n"/>
      <c r="C168" s="28" t="n"/>
      <c r="D168" s="28" t="n"/>
      <c r="E168" s="28" t="n"/>
      <c r="F168" s="28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50">
      <c r="A169" s="7" t="n"/>
      <c r="B169" s="27" t="n"/>
      <c r="C169" s="28" t="n"/>
      <c r="D169" s="28" t="n"/>
      <c r="E169" s="28" t="n"/>
      <c r="F169" s="28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50">
      <c r="A170" s="7" t="n"/>
      <c r="B170" s="27" t="n"/>
      <c r="C170" s="28" t="n"/>
      <c r="D170" s="28" t="n"/>
      <c r="E170" s="28" t="n"/>
      <c r="F170" s="28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50">
      <c r="A171" s="7" t="n"/>
      <c r="B171" s="27" t="n"/>
      <c r="C171" s="28" t="n"/>
      <c r="D171" s="28" t="n"/>
      <c r="E171" s="28" t="n"/>
      <c r="F171" s="28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50">
      <c r="A172" s="7" t="n"/>
      <c r="B172" s="27" t="n"/>
      <c r="C172" s="28" t="n"/>
      <c r="D172" s="28" t="n"/>
      <c r="E172" s="28" t="n"/>
      <c r="F172" s="28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50">
      <c r="A173" s="7" t="n"/>
      <c r="B173" s="27" t="n"/>
      <c r="C173" s="28" t="n"/>
      <c r="D173" s="28" t="n"/>
      <c r="E173" s="28" t="n"/>
      <c r="F173" s="28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50">
      <c r="A174" s="7" t="n"/>
      <c r="B174" s="27" t="n"/>
      <c r="C174" s="28" t="n"/>
      <c r="D174" s="28" t="n"/>
      <c r="E174" s="28" t="n"/>
      <c r="F174" s="28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50">
      <c r="A175" s="7" t="n"/>
      <c r="B175" s="27" t="n"/>
      <c r="C175" s="28" t="n"/>
      <c r="D175" s="28" t="n"/>
      <c r="E175" s="28" t="n"/>
      <c r="F175" s="28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50">
      <c r="A176" s="7" t="n"/>
      <c r="B176" s="27" t="n"/>
      <c r="C176" s="28" t="n"/>
      <c r="D176" s="28" t="n"/>
      <c r="E176" s="28" t="n"/>
      <c r="F176" s="28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50">
      <c r="A177" s="7" t="n"/>
      <c r="B177" s="27" t="n"/>
      <c r="C177" s="28" t="n"/>
      <c r="D177" s="28" t="n"/>
      <c r="E177" s="28" t="n"/>
      <c r="F177" s="28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50">
      <c r="A178" s="7" t="n"/>
      <c r="B178" s="27" t="n"/>
      <c r="C178" s="28" t="n"/>
      <c r="D178" s="28" t="n"/>
      <c r="E178" s="28" t="n"/>
      <c r="F178" s="28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50">
      <c r="A179" s="7" t="n"/>
      <c r="B179" s="27" t="n"/>
      <c r="C179" s="28" t="n"/>
      <c r="D179" s="28" t="n"/>
      <c r="E179" s="28" t="n"/>
      <c r="F179" s="28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50">
      <c r="A180" s="7" t="n"/>
      <c r="B180" s="27" t="n"/>
      <c r="C180" s="28" t="n"/>
      <c r="D180" s="28" t="n"/>
      <c r="E180" s="28" t="n"/>
      <c r="F180" s="28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50">
      <c r="A181" s="7" t="n"/>
      <c r="B181" s="27" t="n"/>
      <c r="C181" s="28" t="n"/>
      <c r="D181" s="28" t="n"/>
      <c r="E181" s="28" t="n"/>
      <c r="F181" s="28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50">
      <c r="A182" s="7" t="n"/>
      <c r="B182" s="27" t="n"/>
      <c r="C182" s="28" t="n"/>
      <c r="D182" s="28" t="n"/>
      <c r="E182" s="28" t="n"/>
      <c r="F182" s="28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50">
      <c r="A183" s="7" t="n"/>
      <c r="B183" s="27" t="n"/>
      <c r="C183" s="28" t="n"/>
      <c r="D183" s="28" t="n"/>
      <c r="E183" s="28" t="n"/>
      <c r="F183" s="28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50">
      <c r="A184" s="7" t="n"/>
      <c r="B184" s="27" t="n"/>
      <c r="C184" s="28" t="n"/>
      <c r="D184" s="28" t="n"/>
      <c r="E184" s="28" t="n"/>
      <c r="F184" s="28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50">
      <c r="A185" s="7" t="n"/>
      <c r="B185" s="27" t="n"/>
      <c r="C185" s="28" t="n"/>
      <c r="D185" s="28" t="n"/>
      <c r="E185" s="28" t="n"/>
      <c r="F185" s="28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50">
      <c r="A186" s="7" t="n"/>
      <c r="B186" s="27" t="n"/>
      <c r="C186" s="28" t="n"/>
      <c r="D186" s="28" t="n"/>
      <c r="E186" s="28" t="n"/>
      <c r="F186" s="28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50">
      <c r="A187" s="7" t="n"/>
      <c r="B187" s="27" t="n"/>
      <c r="C187" s="28" t="n"/>
      <c r="D187" s="28" t="n"/>
      <c r="E187" s="28" t="n"/>
      <c r="F187" s="28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50">
      <c r="A188" s="7" t="n"/>
      <c r="B188" s="27" t="n"/>
      <c r="C188" s="28" t="n"/>
      <c r="D188" s="28" t="n"/>
      <c r="E188" s="28" t="n"/>
      <c r="F188" s="28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50">
      <c r="A189" s="7" t="n"/>
      <c r="B189" s="27" t="n"/>
      <c r="C189" s="28" t="n"/>
      <c r="D189" s="28" t="n"/>
      <c r="E189" s="28" t="n"/>
      <c r="F189" s="28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50">
      <c r="A190" s="7" t="n"/>
      <c r="B190" s="27" t="n"/>
      <c r="C190" s="28" t="n"/>
      <c r="D190" s="28" t="n"/>
      <c r="E190" s="28" t="n"/>
      <c r="F190" s="28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50">
      <c r="A191" s="7" t="n"/>
      <c r="B191" s="27" t="n"/>
      <c r="C191" s="28" t="n"/>
      <c r="D191" s="28" t="n"/>
      <c r="E191" s="28" t="n"/>
      <c r="F191" s="28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50">
      <c r="A192" s="7" t="n"/>
      <c r="B192" s="27" t="n"/>
      <c r="C192" s="28" t="n"/>
      <c r="D192" s="28" t="n"/>
      <c r="E192" s="28" t="n"/>
      <c r="F192" s="28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50">
      <c r="A193" s="7" t="n"/>
      <c r="B193" s="27" t="n"/>
      <c r="C193" s="28" t="n"/>
      <c r="D193" s="28" t="n"/>
      <c r="E193" s="28" t="n"/>
      <c r="F193" s="28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50">
      <c r="A194" s="7" t="n"/>
      <c r="B194" s="27" t="n"/>
      <c r="C194" s="28" t="n"/>
      <c r="D194" s="28" t="n"/>
      <c r="E194" s="28" t="n"/>
      <c r="F194" s="28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50">
      <c r="A195" s="7" t="n"/>
      <c r="B195" s="27" t="n"/>
      <c r="C195" s="28" t="n"/>
      <c r="D195" s="28" t="n"/>
      <c r="E195" s="28" t="n"/>
      <c r="F195" s="28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50">
      <c r="A196" s="7" t="n"/>
      <c r="B196" s="27" t="n"/>
      <c r="C196" s="28" t="n"/>
      <c r="D196" s="28" t="n"/>
      <c r="E196" s="28" t="n"/>
      <c r="F196" s="28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50">
      <c r="A197" s="7" t="n"/>
      <c r="B197" s="27" t="n"/>
      <c r="C197" s="28" t="n"/>
      <c r="D197" s="28" t="n"/>
      <c r="E197" s="28" t="n"/>
      <c r="F197" s="28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50">
      <c r="A198" s="7" t="n"/>
      <c r="B198" s="27" t="n"/>
      <c r="C198" s="28" t="n"/>
      <c r="D198" s="28" t="n"/>
      <c r="E198" s="28" t="n"/>
      <c r="F198" s="28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50">
      <c r="A199" s="7" t="n"/>
      <c r="B199" s="27" t="n"/>
      <c r="C199" s="28" t="n"/>
      <c r="D199" s="28" t="n"/>
      <c r="E199" s="28" t="n"/>
      <c r="F199" s="28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50">
      <c r="A200" s="7" t="n"/>
      <c r="B200" s="27" t="n"/>
      <c r="C200" s="28" t="n"/>
      <c r="D200" s="28" t="n"/>
      <c r="E200" s="28" t="n"/>
      <c r="F200" s="28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50">
      <c r="A201" s="7" t="n"/>
      <c r="B201" s="27" t="n"/>
      <c r="C201" s="28" t="n"/>
      <c r="D201" s="28" t="n"/>
      <c r="E201" s="28" t="n"/>
      <c r="F201" s="28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50">
      <c r="A202" s="7" t="n"/>
      <c r="B202" s="27" t="n"/>
      <c r="C202" s="28" t="n"/>
      <c r="D202" s="28" t="n"/>
      <c r="E202" s="28" t="n"/>
      <c r="F202" s="28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50">
      <c r="A203" s="7" t="n"/>
      <c r="B203" s="27" t="n"/>
      <c r="C203" s="28" t="n"/>
      <c r="D203" s="28" t="n"/>
      <c r="E203" s="28" t="n"/>
      <c r="F203" s="28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50">
      <c r="A204" s="7" t="n"/>
      <c r="B204" s="27" t="n"/>
      <c r="C204" s="28" t="n"/>
      <c r="D204" s="28" t="n"/>
      <c r="E204" s="28" t="n"/>
      <c r="F204" s="28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50">
      <c r="A205" s="7" t="n"/>
      <c r="B205" s="27" t="n"/>
      <c r="C205" s="28" t="n"/>
      <c r="D205" s="28" t="n"/>
      <c r="E205" s="28" t="n"/>
      <c r="F205" s="28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50">
      <c r="A206" s="7" t="n"/>
      <c r="B206" s="27" t="n"/>
      <c r="C206" s="28" t="n"/>
      <c r="D206" s="28" t="n"/>
      <c r="E206" s="28" t="n"/>
      <c r="F206" s="28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50">
      <c r="A207" s="7" t="n"/>
      <c r="B207" s="27" t="n"/>
      <c r="C207" s="28" t="n"/>
      <c r="D207" s="28" t="n"/>
      <c r="E207" s="28" t="n"/>
      <c r="F207" s="28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50">
      <c r="A208" s="7" t="n"/>
      <c r="B208" s="27" t="n"/>
      <c r="C208" s="28" t="n"/>
      <c r="D208" s="28" t="n"/>
      <c r="E208" s="28" t="n"/>
      <c r="F208" s="28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50">
      <c r="A209" s="7" t="n"/>
      <c r="B209" s="27" t="n"/>
      <c r="C209" s="28" t="n"/>
      <c r="D209" s="28" t="n"/>
      <c r="E209" s="28" t="n"/>
      <c r="F209" s="28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50">
      <c r="A210" s="7" t="n"/>
      <c r="B210" s="27" t="n"/>
      <c r="C210" s="28" t="n"/>
      <c r="D210" s="28" t="n"/>
      <c r="E210" s="28" t="n"/>
      <c r="F210" s="28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50">
      <c r="A211" s="7" t="n"/>
      <c r="B211" s="27" t="n"/>
      <c r="C211" s="28" t="n"/>
      <c r="D211" s="28" t="n"/>
      <c r="E211" s="28" t="n"/>
      <c r="F211" s="28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50">
      <c r="A212" s="7" t="n"/>
      <c r="B212" s="27" t="n"/>
      <c r="C212" s="28" t="n"/>
      <c r="D212" s="28" t="n"/>
      <c r="E212" s="28" t="n"/>
      <c r="F212" s="28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50">
      <c r="A213" s="7" t="n"/>
      <c r="B213" s="27" t="n"/>
      <c r="C213" s="28" t="n"/>
      <c r="D213" s="28" t="n"/>
      <c r="E213" s="28" t="n"/>
      <c r="F213" s="28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50">
      <c r="A214" s="7" t="n"/>
      <c r="B214" s="27" t="n"/>
      <c r="C214" s="28" t="n"/>
      <c r="D214" s="28" t="n"/>
      <c r="E214" s="28" t="n"/>
      <c r="F214" s="28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50">
      <c r="A215" s="7" t="n"/>
      <c r="B215" s="27" t="n"/>
      <c r="C215" s="28" t="n"/>
      <c r="D215" s="28" t="n"/>
      <c r="E215" s="28" t="n"/>
      <c r="F215" s="28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50">
      <c r="A216" s="7" t="n"/>
      <c r="B216" s="27" t="n"/>
      <c r="C216" s="28" t="n"/>
      <c r="D216" s="28" t="n"/>
      <c r="E216" s="28" t="n"/>
      <c r="F216" s="28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50">
      <c r="A217" s="7" t="n"/>
      <c r="B217" s="27" t="n"/>
      <c r="C217" s="28" t="n"/>
      <c r="D217" s="28" t="n"/>
      <c r="E217" s="28" t="n"/>
      <c r="F217" s="28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50">
      <c r="A218" s="7" t="n"/>
      <c r="B218" s="27" t="n"/>
      <c r="C218" s="28" t="n"/>
      <c r="D218" s="28" t="n"/>
      <c r="E218" s="28" t="n"/>
      <c r="F218" s="28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50">
      <c r="A219" s="7" t="n"/>
      <c r="B219" s="27" t="n"/>
      <c r="C219" s="28" t="n"/>
      <c r="D219" s="28" t="n"/>
      <c r="E219" s="28" t="n"/>
      <c r="F219" s="28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50">
      <c r="A220" s="7" t="n"/>
      <c r="B220" s="27" t="n"/>
      <c r="C220" s="28" t="n"/>
      <c r="D220" s="28" t="n"/>
      <c r="E220" s="28" t="n"/>
      <c r="F220" s="28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50">
      <c r="A221" s="7" t="n"/>
      <c r="B221" s="27" t="n"/>
      <c r="C221" s="28" t="n"/>
      <c r="D221" s="28" t="n"/>
      <c r="E221" s="28" t="n"/>
      <c r="F221" s="28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50">
      <c r="A222" s="7" t="n"/>
      <c r="B222" s="27" t="n"/>
      <c r="C222" s="28" t="n"/>
      <c r="D222" s="28" t="n"/>
      <c r="E222" s="28" t="n"/>
      <c r="F222" s="28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50">
      <c r="A223" s="7" t="n"/>
      <c r="B223" s="27" t="n"/>
      <c r="C223" s="28" t="n"/>
      <c r="D223" s="28" t="n"/>
      <c r="E223" s="28" t="n"/>
      <c r="F223" s="28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50">
      <c r="A224" s="7" t="n"/>
      <c r="B224" s="27" t="n"/>
      <c r="C224" s="28" t="n"/>
      <c r="D224" s="28" t="n"/>
      <c r="E224" s="28" t="n"/>
      <c r="F224" s="28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50">
      <c r="A225" s="7" t="n"/>
      <c r="B225" s="27" t="n"/>
      <c r="C225" s="28" t="n"/>
      <c r="D225" s="28" t="n"/>
      <c r="E225" s="28" t="n"/>
      <c r="F225" s="28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50">
      <c r="A226" s="7" t="n"/>
      <c r="B226" s="27" t="n"/>
      <c r="C226" s="28" t="n"/>
      <c r="D226" s="28" t="n"/>
      <c r="E226" s="28" t="n"/>
      <c r="F226" s="28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50">
      <c r="A227" s="7" t="n"/>
      <c r="B227" s="27" t="n"/>
      <c r="C227" s="28" t="n"/>
      <c r="D227" s="28" t="n"/>
      <c r="E227" s="28" t="n"/>
      <c r="F227" s="28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50">
      <c r="A228" s="7" t="n"/>
      <c r="B228" s="27" t="n"/>
      <c r="C228" s="28" t="n"/>
      <c r="D228" s="28" t="n"/>
      <c r="E228" s="28" t="n"/>
      <c r="F228" s="28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50">
      <c r="A229" s="7" t="n"/>
      <c r="B229" s="27" t="n"/>
      <c r="C229" s="28" t="n"/>
      <c r="D229" s="28" t="n"/>
      <c r="E229" s="28" t="n"/>
      <c r="F229" s="28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50">
      <c r="A230" s="7" t="n"/>
      <c r="B230" s="27" t="n"/>
      <c r="C230" s="28" t="n"/>
      <c r="D230" s="28" t="n"/>
      <c r="E230" s="28" t="n"/>
      <c r="F230" s="28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50">
      <c r="A231" s="7" t="n"/>
      <c r="B231" s="27" t="n"/>
      <c r="C231" s="28" t="n"/>
      <c r="D231" s="28" t="n"/>
      <c r="E231" s="28" t="n"/>
      <c r="F231" s="28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50">
      <c r="A232" s="7" t="n"/>
      <c r="B232" s="27" t="n"/>
      <c r="C232" s="28" t="n"/>
      <c r="D232" s="28" t="n"/>
      <c r="E232" s="28" t="n"/>
      <c r="F232" s="28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50">
      <c r="A233" s="7" t="n"/>
      <c r="B233" s="27" t="n"/>
      <c r="C233" s="28" t="n"/>
      <c r="D233" s="28" t="n"/>
      <c r="E233" s="28" t="n"/>
      <c r="F233" s="28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50">
      <c r="A234" s="7" t="n"/>
      <c r="B234" s="27" t="n"/>
      <c r="C234" s="28" t="n"/>
      <c r="D234" s="28" t="n"/>
      <c r="E234" s="28" t="n"/>
      <c r="F234" s="28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50">
      <c r="A235" s="7" t="n"/>
      <c r="B235" s="27" t="n"/>
      <c r="C235" s="28" t="n"/>
      <c r="D235" s="28" t="n"/>
      <c r="E235" s="28" t="n"/>
      <c r="F235" s="28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50">
      <c r="A236" s="7" t="n"/>
      <c r="B236" s="27" t="n"/>
      <c r="C236" s="28" t="n"/>
      <c r="D236" s="28" t="n"/>
      <c r="E236" s="28" t="n"/>
      <c r="F236" s="28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50">
      <c r="A237" s="7" t="n"/>
      <c r="B237" s="27" t="n"/>
      <c r="C237" s="28" t="n"/>
      <c r="D237" s="28" t="n"/>
      <c r="E237" s="28" t="n"/>
      <c r="F237" s="28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50">
      <c r="A238" s="7" t="n"/>
      <c r="B238" s="27" t="n"/>
      <c r="C238" s="28" t="n"/>
      <c r="D238" s="28" t="n"/>
      <c r="E238" s="28" t="n"/>
      <c r="F238" s="28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50">
      <c r="A239" s="7" t="n"/>
      <c r="B239" s="27" t="n"/>
      <c r="C239" s="28" t="n"/>
      <c r="D239" s="28" t="n"/>
      <c r="E239" s="28" t="n"/>
      <c r="F239" s="28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50">
      <c r="A240" s="7" t="n"/>
      <c r="B240" s="27" t="n"/>
      <c r="C240" s="28" t="n"/>
      <c r="D240" s="28" t="n"/>
      <c r="E240" s="28" t="n"/>
      <c r="F240" s="28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50">
      <c r="A241" s="7" t="n"/>
      <c r="B241" s="27" t="n"/>
      <c r="C241" s="28" t="n"/>
      <c r="D241" s="28" t="n"/>
      <c r="E241" s="28" t="n"/>
      <c r="F241" s="28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50">
      <c r="A242" s="7" t="n"/>
      <c r="B242" s="27" t="n"/>
      <c r="C242" s="28" t="n"/>
      <c r="D242" s="28" t="n"/>
      <c r="E242" s="28" t="n"/>
      <c r="F242" s="28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50">
      <c r="A243" s="7" t="n"/>
      <c r="B243" s="27" t="n"/>
      <c r="C243" s="28" t="n"/>
      <c r="D243" s="28" t="n"/>
      <c r="E243" s="28" t="n"/>
      <c r="F243" s="28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50">
      <c r="A244" s="7" t="n"/>
      <c r="B244" s="27" t="n"/>
      <c r="C244" s="28" t="n"/>
      <c r="D244" s="28" t="n"/>
      <c r="E244" s="28" t="n"/>
      <c r="F244" s="28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50">
      <c r="A245" s="7" t="n"/>
      <c r="B245" s="27" t="n"/>
      <c r="C245" s="28" t="n"/>
      <c r="D245" s="28" t="n"/>
      <c r="E245" s="28" t="n"/>
      <c r="F245" s="28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50">
      <c r="A246" s="7" t="n"/>
      <c r="B246" s="27" t="n"/>
      <c r="C246" s="28" t="n"/>
      <c r="D246" s="28" t="n"/>
      <c r="E246" s="28" t="n"/>
      <c r="F246" s="28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50">
      <c r="A247" s="7" t="n"/>
      <c r="B247" s="27" t="n"/>
      <c r="C247" s="28" t="n"/>
      <c r="D247" s="28" t="n"/>
      <c r="E247" s="28" t="n"/>
      <c r="F247" s="28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50">
      <c r="A248" s="7" t="n"/>
      <c r="B248" s="27" t="n"/>
      <c r="C248" s="28" t="n"/>
      <c r="D248" s="28" t="n"/>
      <c r="E248" s="28" t="n"/>
      <c r="F248" s="28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50">
      <c r="A249" s="7" t="n"/>
      <c r="B249" s="27" t="n"/>
      <c r="C249" s="28" t="n"/>
      <c r="D249" s="28" t="n"/>
      <c r="E249" s="28" t="n"/>
      <c r="F249" s="28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50">
      <c r="A250" s="7" t="n"/>
      <c r="B250" s="27" t="n"/>
      <c r="C250" s="28" t="n"/>
      <c r="D250" s="28" t="n"/>
      <c r="E250" s="28" t="n"/>
      <c r="F250" s="28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50">
      <c r="A251" s="7" t="n"/>
      <c r="B251" s="27" t="n"/>
      <c r="C251" s="28" t="n"/>
      <c r="D251" s="28" t="n"/>
      <c r="E251" s="28" t="n"/>
      <c r="F251" s="28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50">
      <c r="A252" s="7" t="n"/>
      <c r="B252" s="27" t="n"/>
      <c r="C252" s="28" t="n"/>
      <c r="D252" s="28" t="n"/>
      <c r="E252" s="28" t="n"/>
      <c r="F252" s="28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50">
      <c r="A253" s="7" t="n"/>
      <c r="B253" s="27" t="n"/>
      <c r="C253" s="28" t="n"/>
      <c r="D253" s="28" t="n"/>
      <c r="E253" s="28" t="n"/>
      <c r="F253" s="28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50">
      <c r="A254" s="7" t="n"/>
      <c r="B254" s="27" t="n"/>
      <c r="C254" s="28" t="n"/>
      <c r="D254" s="28" t="n"/>
      <c r="E254" s="28" t="n"/>
      <c r="F254" s="28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50">
      <c r="A255" s="7" t="n"/>
      <c r="B255" s="27" t="n"/>
      <c r="C255" s="28" t="n"/>
      <c r="D255" s="28" t="n"/>
      <c r="E255" s="28" t="n"/>
      <c r="F255" s="28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50">
      <c r="A256" s="7" t="n"/>
      <c r="B256" s="27" t="n"/>
      <c r="C256" s="28" t="n"/>
      <c r="D256" s="28" t="n"/>
      <c r="E256" s="28" t="n"/>
      <c r="F256" s="28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50">
      <c r="A257" s="7" t="n"/>
      <c r="B257" s="27" t="n"/>
      <c r="C257" s="28" t="n"/>
      <c r="D257" s="28" t="n"/>
      <c r="E257" s="28" t="n"/>
      <c r="F257" s="28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50">
      <c r="A258" s="7" t="n"/>
      <c r="B258" s="27" t="n"/>
      <c r="C258" s="28" t="n"/>
      <c r="D258" s="28" t="n"/>
      <c r="E258" s="28" t="n"/>
      <c r="F258" s="28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50">
      <c r="A259" s="7" t="n"/>
      <c r="B259" s="27" t="n"/>
      <c r="C259" s="28" t="n"/>
      <c r="D259" s="28" t="n"/>
      <c r="E259" s="28" t="n"/>
      <c r="F259" s="28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50">
      <c r="A260" s="7" t="n"/>
      <c r="B260" s="27" t="n"/>
      <c r="C260" s="28" t="n"/>
      <c r="D260" s="28" t="n"/>
      <c r="E260" s="28" t="n"/>
      <c r="F260" s="28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50">
      <c r="A261" s="7" t="n"/>
      <c r="B261" s="27" t="n"/>
      <c r="C261" s="28" t="n"/>
      <c r="D261" s="28" t="n"/>
      <c r="E261" s="28" t="n"/>
      <c r="F261" s="28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50">
      <c r="A262" s="7" t="n"/>
      <c r="B262" s="27" t="n"/>
      <c r="C262" s="28" t="n"/>
      <c r="D262" s="28" t="n"/>
      <c r="E262" s="28" t="n"/>
      <c r="F262" s="28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50">
      <c r="A263" s="7" t="n"/>
      <c r="B263" s="27" t="n"/>
      <c r="C263" s="28" t="n"/>
      <c r="D263" s="28" t="n"/>
      <c r="E263" s="28" t="n"/>
      <c r="F263" s="28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50">
      <c r="A264" s="7" t="n"/>
      <c r="B264" s="27" t="n"/>
      <c r="C264" s="28" t="n"/>
      <c r="D264" s="28" t="n"/>
      <c r="E264" s="28" t="n"/>
      <c r="F264" s="28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50">
      <c r="A265" s="7" t="n"/>
      <c r="B265" s="27" t="n"/>
      <c r="C265" s="28" t="n"/>
      <c r="D265" s="28" t="n"/>
      <c r="E265" s="28" t="n"/>
      <c r="F265" s="28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50">
      <c r="A266" s="7" t="n"/>
      <c r="B266" s="27" t="n"/>
      <c r="C266" s="28" t="n"/>
      <c r="D266" s="28" t="n"/>
      <c r="E266" s="28" t="n"/>
      <c r="F266" s="28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50">
      <c r="A267" s="7" t="n"/>
      <c r="B267" s="27" t="n"/>
      <c r="C267" s="28" t="n"/>
      <c r="D267" s="28" t="n"/>
      <c r="E267" s="28" t="n"/>
      <c r="F267" s="28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50">
      <c r="A268" s="7" t="n"/>
      <c r="B268" s="27" t="n"/>
      <c r="C268" s="28" t="n"/>
      <c r="D268" s="28" t="n"/>
      <c r="E268" s="28" t="n"/>
      <c r="F268" s="28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50">
      <c r="A269" s="7" t="n"/>
      <c r="B269" s="27" t="n"/>
      <c r="C269" s="28" t="n"/>
      <c r="D269" s="28" t="n"/>
      <c r="E269" s="28" t="n"/>
      <c r="F269" s="28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50">
      <c r="A270" s="7" t="n"/>
      <c r="B270" s="27" t="n"/>
      <c r="C270" s="28" t="n"/>
      <c r="D270" s="28" t="n"/>
      <c r="E270" s="28" t="n"/>
      <c r="F270" s="28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50">
      <c r="A271" s="7" t="n"/>
      <c r="B271" s="27" t="n"/>
      <c r="C271" s="28" t="n"/>
      <c r="D271" s="28" t="n"/>
      <c r="E271" s="28" t="n"/>
      <c r="F271" s="28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50">
      <c r="A272" s="7" t="n"/>
      <c r="B272" s="27" t="n"/>
      <c r="C272" s="28" t="n"/>
      <c r="D272" s="28" t="n"/>
      <c r="E272" s="28" t="n"/>
      <c r="F272" s="28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50">
      <c r="A273" s="7" t="n"/>
      <c r="B273" s="27" t="n"/>
      <c r="C273" s="28" t="n"/>
      <c r="D273" s="28" t="n"/>
      <c r="E273" s="28" t="n"/>
      <c r="F273" s="28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50">
      <c r="A274" s="7" t="n"/>
      <c r="B274" s="27" t="n"/>
      <c r="C274" s="28" t="n"/>
      <c r="D274" s="28" t="n"/>
      <c r="E274" s="28" t="n"/>
      <c r="F274" s="28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50">
      <c r="A275" s="7" t="n"/>
      <c r="B275" s="27" t="n"/>
      <c r="C275" s="28" t="n"/>
      <c r="D275" s="28" t="n"/>
      <c r="E275" s="28" t="n"/>
      <c r="F275" s="28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50">
      <c r="A276" s="7" t="n"/>
      <c r="B276" s="27" t="n"/>
      <c r="C276" s="28" t="n"/>
      <c r="D276" s="28" t="n"/>
      <c r="E276" s="28" t="n"/>
      <c r="F276" s="28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50">
      <c r="A277" s="7" t="n"/>
      <c r="B277" s="27" t="n"/>
      <c r="C277" s="28" t="n"/>
      <c r="D277" s="28" t="n"/>
      <c r="E277" s="28" t="n"/>
      <c r="F277" s="28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50">
      <c r="A278" s="7" t="n"/>
      <c r="B278" s="27" t="n"/>
      <c r="C278" s="28" t="n"/>
      <c r="D278" s="28" t="n"/>
      <c r="E278" s="28" t="n"/>
      <c r="F278" s="28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50">
      <c r="A279" s="7" t="n"/>
      <c r="B279" s="27" t="n"/>
      <c r="C279" s="28" t="n"/>
      <c r="D279" s="28" t="n"/>
      <c r="E279" s="28" t="n"/>
      <c r="F279" s="28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50">
      <c r="A280" s="7" t="n"/>
      <c r="B280" s="27" t="n"/>
      <c r="C280" s="28" t="n"/>
      <c r="D280" s="28" t="n"/>
      <c r="E280" s="28" t="n"/>
      <c r="F280" s="28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50">
      <c r="A281" s="7" t="n"/>
      <c r="B281" s="27" t="n"/>
      <c r="C281" s="28" t="n"/>
      <c r="D281" s="28" t="n"/>
      <c r="E281" s="28" t="n"/>
      <c r="F281" s="28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50">
      <c r="A282" s="7" t="n"/>
      <c r="B282" s="27" t="n"/>
      <c r="C282" s="28" t="n"/>
      <c r="D282" s="28" t="n"/>
      <c r="E282" s="28" t="n"/>
      <c r="F282" s="28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50">
      <c r="A283" s="7" t="n"/>
      <c r="B283" s="27" t="n"/>
      <c r="C283" s="28" t="n"/>
      <c r="D283" s="28" t="n"/>
      <c r="E283" s="28" t="n"/>
      <c r="F283" s="28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50">
      <c r="A284" s="7" t="n"/>
      <c r="B284" s="27" t="n"/>
      <c r="C284" s="28" t="n"/>
      <c r="D284" s="28" t="n"/>
      <c r="E284" s="28" t="n"/>
      <c r="F284" s="28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50">
      <c r="A285" s="7" t="n"/>
      <c r="B285" s="27" t="n"/>
      <c r="C285" s="28" t="n"/>
      <c r="D285" s="28" t="n"/>
      <c r="E285" s="28" t="n"/>
      <c r="F285" s="28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50">
      <c r="A286" s="7" t="n"/>
      <c r="B286" s="27" t="n"/>
      <c r="C286" s="28" t="n"/>
      <c r="D286" s="28" t="n"/>
      <c r="E286" s="28" t="n"/>
      <c r="F286" s="28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50">
      <c r="A287" s="7" t="n"/>
      <c r="B287" s="27" t="n"/>
      <c r="C287" s="28" t="n"/>
      <c r="D287" s="28" t="n"/>
      <c r="E287" s="28" t="n"/>
      <c r="F287" s="28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50">
      <c r="A288" s="7" t="n"/>
      <c r="B288" s="27" t="n"/>
      <c r="C288" s="28" t="n"/>
      <c r="D288" s="28" t="n"/>
      <c r="E288" s="28" t="n"/>
      <c r="F288" s="28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50">
      <c r="A289" s="7" t="n"/>
      <c r="B289" s="27" t="n"/>
      <c r="C289" s="28" t="n"/>
      <c r="D289" s="28" t="n"/>
      <c r="E289" s="28" t="n"/>
      <c r="F289" s="28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50">
      <c r="A290" s="7" t="n"/>
      <c r="B290" s="27" t="n"/>
      <c r="C290" s="28" t="n"/>
      <c r="D290" s="28" t="n"/>
      <c r="E290" s="28" t="n"/>
      <c r="F290" s="28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50">
      <c r="A291" s="7" t="n"/>
      <c r="B291" s="27" t="n"/>
      <c r="C291" s="28" t="n"/>
      <c r="D291" s="28" t="n"/>
      <c r="E291" s="28" t="n"/>
      <c r="F291" s="28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50">
      <c r="A292" s="7" t="n"/>
      <c r="B292" s="27" t="n"/>
      <c r="C292" s="28" t="n"/>
      <c r="D292" s="28" t="n"/>
      <c r="E292" s="28" t="n"/>
      <c r="F292" s="28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50">
      <c r="A293" s="7" t="n"/>
      <c r="B293" s="27" t="n"/>
      <c r="C293" s="28" t="n"/>
      <c r="D293" s="28" t="n"/>
      <c r="E293" s="28" t="n"/>
      <c r="F293" s="28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50">
      <c r="A294" s="7" t="n"/>
      <c r="B294" s="27" t="n"/>
      <c r="C294" s="28" t="n"/>
      <c r="D294" s="28" t="n"/>
      <c r="E294" s="28" t="n"/>
      <c r="F294" s="28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50">
      <c r="A295" s="7" t="n"/>
      <c r="B295" s="27" t="n"/>
      <c r="C295" s="28" t="n"/>
      <c r="D295" s="28" t="n"/>
      <c r="E295" s="28" t="n"/>
      <c r="F295" s="28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50">
      <c r="A296" s="7" t="n"/>
      <c r="B296" s="27" t="n"/>
      <c r="C296" s="28" t="n"/>
      <c r="D296" s="28" t="n"/>
      <c r="E296" s="28" t="n"/>
      <c r="F296" s="28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50">
      <c r="A297" s="7" t="n"/>
      <c r="B297" s="27" t="n"/>
      <c r="C297" s="28" t="n"/>
      <c r="D297" s="28" t="n"/>
      <c r="E297" s="28" t="n"/>
      <c r="F297" s="28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50">
      <c r="A298" s="7" t="n"/>
      <c r="B298" s="27" t="n"/>
      <c r="C298" s="28" t="n"/>
      <c r="D298" s="28" t="n"/>
      <c r="E298" s="28" t="n"/>
      <c r="F298" s="28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50">
      <c r="A299" s="7" t="n"/>
      <c r="B299" s="27" t="n"/>
      <c r="C299" s="28" t="n"/>
      <c r="D299" s="28" t="n"/>
      <c r="E299" s="28" t="n"/>
      <c r="F299" s="28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50">
      <c r="A300" s="7" t="n"/>
      <c r="B300" s="27" t="n"/>
      <c r="C300" s="28" t="n"/>
      <c r="D300" s="28" t="n"/>
      <c r="E300" s="28" t="n"/>
      <c r="F300" s="28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50">
      <c r="A301" s="7" t="n"/>
      <c r="B301" s="27" t="n"/>
      <c r="C301" s="28" t="n"/>
      <c r="D301" s="28" t="n"/>
      <c r="E301" s="28" t="n"/>
      <c r="F301" s="28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50">
      <c r="A302" s="7" t="n"/>
      <c r="B302" s="27" t="n"/>
      <c r="C302" s="28" t="n"/>
      <c r="D302" s="28" t="n"/>
      <c r="E302" s="28" t="n"/>
      <c r="F302" s="28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50">
      <c r="A303" s="7" t="n"/>
      <c r="B303" s="27" t="n"/>
      <c r="C303" s="28" t="n"/>
      <c r="D303" s="28" t="n"/>
      <c r="E303" s="28" t="n"/>
      <c r="F303" s="28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50">
      <c r="A304" s="7" t="n"/>
      <c r="B304" s="27" t="n"/>
      <c r="C304" s="28" t="n"/>
      <c r="D304" s="28" t="n"/>
      <c r="E304" s="28" t="n"/>
      <c r="F304" s="28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50">
      <c r="A305" s="7" t="n"/>
      <c r="B305" s="27" t="n"/>
      <c r="C305" s="28" t="n"/>
      <c r="D305" s="28" t="n"/>
      <c r="E305" s="28" t="n"/>
      <c r="F305" s="28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50">
      <c r="A306" s="7" t="n"/>
      <c r="B306" s="27" t="n"/>
      <c r="C306" s="28" t="n"/>
      <c r="D306" s="28" t="n"/>
      <c r="E306" s="28" t="n"/>
      <c r="F306" s="28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50">
      <c r="A307" s="7" t="n"/>
      <c r="B307" s="27" t="n"/>
      <c r="C307" s="28" t="n"/>
      <c r="D307" s="28" t="n"/>
      <c r="E307" s="28" t="n"/>
      <c r="F307" s="28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50">
      <c r="A308" s="7" t="n"/>
      <c r="B308" s="27" t="n"/>
      <c r="C308" s="28" t="n"/>
      <c r="D308" s="28" t="n"/>
      <c r="E308" s="28" t="n"/>
      <c r="F308" s="28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50">
      <c r="A309" s="7" t="n"/>
      <c r="B309" s="27" t="n"/>
      <c r="C309" s="28" t="n"/>
      <c r="D309" s="28" t="n"/>
      <c r="E309" s="28" t="n"/>
      <c r="F309" s="28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50">
      <c r="A310" s="7" t="n"/>
      <c r="B310" s="27" t="n"/>
      <c r="C310" s="28" t="n"/>
      <c r="D310" s="28" t="n"/>
      <c r="E310" s="28" t="n"/>
      <c r="F310" s="28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50">
      <c r="A311" s="7" t="n"/>
      <c r="B311" s="27" t="n"/>
      <c r="C311" s="28" t="n"/>
      <c r="D311" s="28" t="n"/>
      <c r="E311" s="28" t="n"/>
      <c r="F311" s="28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50">
      <c r="A312" s="7" t="n"/>
      <c r="B312" s="27" t="n"/>
      <c r="C312" s="28" t="n"/>
      <c r="D312" s="28" t="n"/>
      <c r="E312" s="28" t="n"/>
      <c r="F312" s="28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50">
      <c r="A313" s="7" t="n"/>
      <c r="B313" s="27" t="n"/>
      <c r="C313" s="28" t="n"/>
      <c r="D313" s="28" t="n"/>
      <c r="E313" s="28" t="n"/>
      <c r="F313" s="28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50">
      <c r="A314" s="7" t="n"/>
      <c r="B314" s="27" t="n"/>
      <c r="C314" s="28" t="n"/>
      <c r="D314" s="28" t="n"/>
      <c r="E314" s="28" t="n"/>
      <c r="F314" s="28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50">
      <c r="A315" s="7" t="n"/>
      <c r="B315" s="27" t="n"/>
      <c r="C315" s="28" t="n"/>
      <c r="D315" s="28" t="n"/>
      <c r="E315" s="28" t="n"/>
      <c r="F315" s="28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50">
      <c r="A316" s="7" t="n"/>
      <c r="B316" s="27" t="n"/>
      <c r="C316" s="28" t="n"/>
      <c r="D316" s="28" t="n"/>
      <c r="E316" s="28" t="n"/>
      <c r="F316" s="28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50">
      <c r="A317" s="7" t="n"/>
      <c r="B317" s="27" t="n"/>
      <c r="C317" s="28" t="n"/>
      <c r="D317" s="28" t="n"/>
      <c r="E317" s="28" t="n"/>
      <c r="F317" s="28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50">
      <c r="A318" s="7" t="n"/>
      <c r="B318" s="27" t="n"/>
      <c r="C318" s="28" t="n"/>
      <c r="D318" s="28" t="n"/>
      <c r="E318" s="28" t="n"/>
      <c r="F318" s="28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50">
      <c r="A319" s="7" t="n"/>
      <c r="B319" s="27" t="n"/>
      <c r="C319" s="28" t="n"/>
      <c r="D319" s="28" t="n"/>
      <c r="E319" s="28" t="n"/>
      <c r="F319" s="28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50">
      <c r="A320" s="7" t="n"/>
      <c r="B320" s="27" t="n"/>
      <c r="C320" s="28" t="n"/>
      <c r="D320" s="28" t="n"/>
      <c r="E320" s="28" t="n"/>
      <c r="F320" s="28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50">
      <c r="A321" s="7" t="n"/>
      <c r="B321" s="27" t="n"/>
      <c r="C321" s="28" t="n"/>
      <c r="D321" s="28" t="n"/>
      <c r="E321" s="28" t="n"/>
      <c r="F321" s="28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50">
      <c r="A322" s="7" t="n"/>
      <c r="B322" s="27" t="n"/>
      <c r="C322" s="28" t="n"/>
      <c r="D322" s="28" t="n"/>
      <c r="E322" s="28" t="n"/>
      <c r="F322" s="28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50">
      <c r="A323" s="7" t="n"/>
      <c r="B323" s="27" t="n"/>
      <c r="C323" s="28" t="n"/>
      <c r="D323" s="28" t="n"/>
      <c r="E323" s="28" t="n"/>
      <c r="F323" s="28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50">
      <c r="A324" s="7" t="n"/>
      <c r="B324" s="27" t="n"/>
      <c r="C324" s="28" t="n"/>
      <c r="D324" s="28" t="n"/>
      <c r="E324" s="28" t="n"/>
      <c r="F324" s="28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50">
      <c r="A325" s="7" t="n"/>
      <c r="B325" s="27" t="n"/>
      <c r="C325" s="28" t="n"/>
      <c r="D325" s="28" t="n"/>
      <c r="E325" s="28" t="n"/>
      <c r="F325" s="28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50">
      <c r="A326" s="7" t="n"/>
      <c r="B326" s="27" t="n"/>
      <c r="C326" s="28" t="n"/>
      <c r="D326" s="28" t="n"/>
      <c r="E326" s="28" t="n"/>
      <c r="F326" s="28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50">
      <c r="A327" s="7" t="n"/>
      <c r="B327" s="27" t="n"/>
      <c r="C327" s="28" t="n"/>
      <c r="D327" s="28" t="n"/>
      <c r="E327" s="28" t="n"/>
      <c r="F327" s="28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50">
      <c r="A328" s="7" t="n"/>
      <c r="B328" s="27" t="n"/>
      <c r="C328" s="28" t="n"/>
      <c r="D328" s="28" t="n"/>
      <c r="E328" s="28" t="n"/>
      <c r="F328" s="28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50">
      <c r="A329" s="7" t="n"/>
      <c r="B329" s="27" t="n"/>
      <c r="C329" s="28" t="n"/>
      <c r="D329" s="28" t="n"/>
      <c r="E329" s="28" t="n"/>
      <c r="F329" s="28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50">
      <c r="A330" s="7" t="n"/>
      <c r="B330" s="27" t="n"/>
      <c r="C330" s="28" t="n"/>
      <c r="D330" s="28" t="n"/>
      <c r="E330" s="28" t="n"/>
      <c r="F330" s="28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50">
      <c r="A331" s="7" t="n"/>
      <c r="B331" s="27" t="n"/>
      <c r="C331" s="28" t="n"/>
      <c r="D331" s="28" t="n"/>
      <c r="E331" s="28" t="n"/>
      <c r="F331" s="28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50">
      <c r="A332" s="7" t="n"/>
      <c r="B332" s="27" t="n"/>
      <c r="C332" s="28" t="n"/>
      <c r="D332" s="28" t="n"/>
      <c r="E332" s="28" t="n"/>
      <c r="F332" s="28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50">
      <c r="A333" s="7" t="n"/>
      <c r="B333" s="27" t="n"/>
      <c r="C333" s="28" t="n"/>
      <c r="D333" s="28" t="n"/>
      <c r="E333" s="28" t="n"/>
      <c r="F333" s="28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50">
      <c r="A334" s="7" t="n"/>
      <c r="B334" s="27" t="n"/>
      <c r="C334" s="28" t="n"/>
      <c r="D334" s="28" t="n"/>
      <c r="E334" s="28" t="n"/>
      <c r="F334" s="28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50">
      <c r="A335" s="7" t="n"/>
      <c r="B335" s="27" t="n"/>
      <c r="C335" s="28" t="n"/>
      <c r="D335" s="28" t="n"/>
      <c r="E335" s="28" t="n"/>
      <c r="F335" s="28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50">
      <c r="A336" s="7" t="n"/>
      <c r="B336" s="27" t="n"/>
      <c r="C336" s="28" t="n"/>
      <c r="D336" s="28" t="n"/>
      <c r="E336" s="28" t="n"/>
      <c r="F336" s="28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50">
      <c r="A337" s="7" t="n"/>
      <c r="B337" s="27" t="n"/>
      <c r="C337" s="28" t="n"/>
      <c r="D337" s="28" t="n"/>
      <c r="E337" s="28" t="n"/>
      <c r="F337" s="28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50">
      <c r="A338" s="7" t="n"/>
      <c r="B338" s="27" t="n"/>
      <c r="C338" s="28" t="n"/>
      <c r="D338" s="28" t="n"/>
      <c r="E338" s="28" t="n"/>
      <c r="F338" s="28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50">
      <c r="A339" s="7" t="n"/>
      <c r="B339" s="27" t="n"/>
      <c r="C339" s="28" t="n"/>
      <c r="D339" s="28" t="n"/>
      <c r="E339" s="28" t="n"/>
      <c r="F339" s="28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50">
      <c r="A340" s="7" t="n"/>
      <c r="B340" s="27" t="n"/>
      <c r="C340" s="28" t="n"/>
      <c r="D340" s="28" t="n"/>
      <c r="E340" s="28" t="n"/>
      <c r="F340" s="28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50">
      <c r="A341" s="7" t="n"/>
      <c r="B341" s="27" t="n"/>
      <c r="C341" s="28" t="n"/>
      <c r="D341" s="28" t="n"/>
      <c r="E341" s="28" t="n"/>
      <c r="F341" s="28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50">
      <c r="A342" s="7" t="n"/>
      <c r="B342" s="27" t="n"/>
      <c r="C342" s="28" t="n"/>
      <c r="D342" s="28" t="n"/>
      <c r="E342" s="28" t="n"/>
      <c r="F342" s="28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50">
      <c r="A343" s="7" t="n"/>
      <c r="B343" s="27" t="n"/>
      <c r="C343" s="28" t="n"/>
      <c r="D343" s="28" t="n"/>
      <c r="E343" s="28" t="n"/>
      <c r="F343" s="28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50">
      <c r="A344" s="7" t="n"/>
      <c r="B344" s="27" t="n"/>
      <c r="C344" s="28" t="n"/>
      <c r="D344" s="28" t="n"/>
      <c r="E344" s="28" t="n"/>
      <c r="F344" s="28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50">
      <c r="A345" s="7" t="n"/>
      <c r="B345" s="27" t="n"/>
      <c r="C345" s="28" t="n"/>
      <c r="D345" s="28" t="n"/>
      <c r="E345" s="28" t="n"/>
      <c r="F345" s="28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50">
      <c r="A346" s="7" t="n"/>
      <c r="B346" s="27" t="n"/>
      <c r="C346" s="28" t="n"/>
      <c r="D346" s="28" t="n"/>
      <c r="E346" s="28" t="n"/>
      <c r="F346" s="28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50">
      <c r="A347" s="7" t="n"/>
      <c r="B347" s="27" t="n"/>
      <c r="C347" s="28" t="n"/>
      <c r="D347" s="28" t="n"/>
      <c r="E347" s="28" t="n"/>
      <c r="F347" s="28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50">
      <c r="A348" s="7" t="n"/>
      <c r="B348" s="27" t="n"/>
      <c r="C348" s="28" t="n"/>
      <c r="D348" s="28" t="n"/>
      <c r="E348" s="28" t="n"/>
      <c r="F348" s="28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50">
      <c r="A349" s="7" t="n"/>
      <c r="B349" s="27" t="n"/>
      <c r="C349" s="28" t="n"/>
      <c r="D349" s="28" t="n"/>
      <c r="E349" s="28" t="n"/>
      <c r="F349" s="28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50">
      <c r="A350" s="7" t="n"/>
      <c r="B350" s="27" t="n"/>
      <c r="C350" s="28" t="n"/>
      <c r="D350" s="28" t="n"/>
      <c r="E350" s="28" t="n"/>
      <c r="F350" s="28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50">
      <c r="A351" s="7" t="n"/>
      <c r="B351" s="27" t="n"/>
      <c r="C351" s="28" t="n"/>
      <c r="D351" s="28" t="n"/>
      <c r="E351" s="28" t="n"/>
      <c r="F351" s="28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50">
      <c r="A352" s="7" t="n"/>
      <c r="B352" s="27" t="n"/>
      <c r="C352" s="28" t="n"/>
      <c r="D352" s="28" t="n"/>
      <c r="E352" s="28" t="n"/>
      <c r="F352" s="28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50">
      <c r="A353" s="7" t="n"/>
      <c r="B353" s="27" t="n"/>
      <c r="C353" s="28" t="n"/>
      <c r="D353" s="28" t="n"/>
      <c r="E353" s="28" t="n"/>
      <c r="F353" s="28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50">
      <c r="A354" s="7" t="n"/>
      <c r="B354" s="27" t="n"/>
      <c r="C354" s="28" t="n"/>
      <c r="D354" s="28" t="n"/>
      <c r="E354" s="28" t="n"/>
      <c r="F354" s="28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50">
      <c r="A355" s="7" t="n"/>
      <c r="B355" s="27" t="n"/>
      <c r="C355" s="28" t="n"/>
      <c r="D355" s="28" t="n"/>
      <c r="E355" s="28" t="n"/>
      <c r="F355" s="28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50">
      <c r="A356" s="7" t="n"/>
      <c r="B356" s="27" t="n"/>
      <c r="C356" s="28" t="n"/>
      <c r="D356" s="28" t="n"/>
      <c r="E356" s="28" t="n"/>
      <c r="F356" s="28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50">
      <c r="A357" s="7" t="n"/>
      <c r="B357" s="27" t="n"/>
      <c r="C357" s="28" t="n"/>
      <c r="D357" s="28" t="n"/>
      <c r="E357" s="28" t="n"/>
      <c r="F357" s="28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50">
      <c r="A358" s="7" t="n"/>
      <c r="B358" s="27" t="n"/>
      <c r="C358" s="28" t="n"/>
      <c r="D358" s="28" t="n"/>
      <c r="E358" s="28" t="n"/>
      <c r="F358" s="28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50">
      <c r="A359" s="7" t="n"/>
      <c r="B359" s="27" t="n"/>
      <c r="C359" s="28" t="n"/>
      <c r="D359" s="28" t="n"/>
      <c r="E359" s="28" t="n"/>
      <c r="F359" s="28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50">
      <c r="A360" s="7" t="n"/>
      <c r="B360" s="27" t="n"/>
      <c r="C360" s="28" t="n"/>
      <c r="D360" s="28" t="n"/>
      <c r="E360" s="28" t="n"/>
      <c r="F360" s="28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50">
      <c r="A361" s="7" t="n"/>
      <c r="B361" s="27" t="n"/>
      <c r="C361" s="28" t="n"/>
      <c r="D361" s="28" t="n"/>
      <c r="E361" s="28" t="n"/>
      <c r="F361" s="28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50">
      <c r="A362" s="7" t="n"/>
      <c r="B362" s="27" t="n"/>
      <c r="C362" s="28" t="n"/>
      <c r="D362" s="28" t="n"/>
      <c r="E362" s="28" t="n"/>
      <c r="F362" s="28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50">
      <c r="A363" s="7" t="n"/>
      <c r="B363" s="27" t="n"/>
      <c r="C363" s="28" t="n"/>
      <c r="D363" s="28" t="n"/>
      <c r="E363" s="28" t="n"/>
      <c r="F363" s="28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50">
      <c r="A364" s="7" t="n"/>
      <c r="B364" s="27" t="n"/>
      <c r="C364" s="28" t="n"/>
      <c r="D364" s="28" t="n"/>
      <c r="E364" s="28" t="n"/>
      <c r="F364" s="28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50">
      <c r="A365" s="7" t="n"/>
      <c r="B365" s="27" t="n"/>
      <c r="C365" s="28" t="n"/>
      <c r="D365" s="28" t="n"/>
      <c r="E365" s="28" t="n"/>
      <c r="F365" s="28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50">
      <c r="A366" s="7" t="n"/>
      <c r="B366" s="27" t="n"/>
      <c r="C366" s="28" t="n"/>
      <c r="D366" s="28" t="n"/>
      <c r="E366" s="28" t="n"/>
      <c r="F366" s="28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50">
      <c r="A367" s="7" t="n"/>
      <c r="B367" s="27" t="n"/>
      <c r="C367" s="28" t="n"/>
      <c r="D367" s="28" t="n"/>
      <c r="E367" s="28" t="n"/>
      <c r="F367" s="28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50">
      <c r="A368" s="7" t="n"/>
      <c r="B368" s="27" t="n"/>
      <c r="C368" s="28" t="n"/>
      <c r="D368" s="28" t="n"/>
      <c r="E368" s="28" t="n"/>
      <c r="F368" s="28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50">
      <c r="A369" s="7" t="n"/>
      <c r="B369" s="27" t="n"/>
      <c r="C369" s="28" t="n"/>
      <c r="D369" s="28" t="n"/>
      <c r="E369" s="28" t="n"/>
      <c r="F369" s="28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50">
      <c r="A370" s="7" t="n"/>
      <c r="B370" s="27" t="n"/>
      <c r="C370" s="28" t="n"/>
      <c r="D370" s="28" t="n"/>
      <c r="E370" s="28" t="n"/>
      <c r="F370" s="28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50">
      <c r="A371" s="7" t="n"/>
      <c r="B371" s="27" t="n"/>
      <c r="C371" s="28" t="n"/>
      <c r="D371" s="28" t="n"/>
      <c r="E371" s="28" t="n"/>
      <c r="F371" s="28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50">
      <c r="A372" s="7" t="n"/>
      <c r="B372" s="27" t="n"/>
      <c r="C372" s="28" t="n"/>
      <c r="D372" s="28" t="n"/>
      <c r="E372" s="28" t="n"/>
      <c r="F372" s="28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50">
      <c r="A373" s="7" t="n"/>
      <c r="B373" s="27" t="n"/>
      <c r="C373" s="28" t="n"/>
      <c r="D373" s="28" t="n"/>
      <c r="E373" s="28" t="n"/>
      <c r="F373" s="28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50">
      <c r="A374" s="7" t="n"/>
      <c r="B374" s="27" t="n"/>
      <c r="C374" s="28" t="n"/>
      <c r="D374" s="28" t="n"/>
      <c r="E374" s="28" t="n"/>
      <c r="F374" s="28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50">
      <c r="A375" s="7" t="n"/>
      <c r="B375" s="27" t="n"/>
      <c r="C375" s="28" t="n"/>
      <c r="D375" s="28" t="n"/>
      <c r="E375" s="28" t="n"/>
      <c r="F375" s="28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50">
      <c r="A376" s="7" t="n"/>
      <c r="B376" s="27" t="n"/>
      <c r="C376" s="28" t="n"/>
      <c r="D376" s="28" t="n"/>
      <c r="E376" s="28" t="n"/>
      <c r="F376" s="28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50">
      <c r="A377" s="7" t="n"/>
      <c r="B377" s="27" t="n"/>
      <c r="C377" s="28" t="n"/>
      <c r="D377" s="28" t="n"/>
      <c r="E377" s="28" t="n"/>
      <c r="F377" s="28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50">
      <c r="A378" s="7" t="n"/>
      <c r="B378" s="27" t="n"/>
      <c r="C378" s="28" t="n"/>
      <c r="D378" s="28" t="n"/>
      <c r="E378" s="28" t="n"/>
      <c r="F378" s="28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50">
      <c r="A379" s="7" t="n"/>
      <c r="B379" s="27" t="n"/>
      <c r="C379" s="28" t="n"/>
      <c r="D379" s="28" t="n"/>
      <c r="E379" s="28" t="n"/>
      <c r="F379" s="28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50">
      <c r="A380" s="7" t="n"/>
      <c r="B380" s="27" t="n"/>
      <c r="C380" s="28" t="n"/>
      <c r="D380" s="28" t="n"/>
      <c r="E380" s="28" t="n"/>
      <c r="F380" s="28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50">
      <c r="A381" s="7" t="n"/>
      <c r="B381" s="27" t="n"/>
      <c r="C381" s="28" t="n"/>
      <c r="D381" s="28" t="n"/>
      <c r="E381" s="28" t="n"/>
      <c r="F381" s="28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50">
      <c r="A382" s="7" t="n"/>
      <c r="B382" s="27" t="n"/>
      <c r="C382" s="28" t="n"/>
      <c r="D382" s="28" t="n"/>
      <c r="E382" s="28" t="n"/>
      <c r="F382" s="28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50">
      <c r="A383" s="7" t="n"/>
      <c r="B383" s="27" t="n"/>
      <c r="C383" s="28" t="n"/>
      <c r="D383" s="28" t="n"/>
      <c r="E383" s="28" t="n"/>
      <c r="F383" s="28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50">
      <c r="A384" s="7" t="n"/>
      <c r="B384" s="27" t="n"/>
      <c r="C384" s="28" t="n"/>
      <c r="D384" s="28" t="n"/>
      <c r="E384" s="28" t="n"/>
      <c r="F384" s="28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50">
      <c r="A385" s="7" t="n"/>
      <c r="B385" s="27" t="n"/>
      <c r="C385" s="28" t="n"/>
      <c r="D385" s="28" t="n"/>
      <c r="E385" s="28" t="n"/>
      <c r="F385" s="28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50">
      <c r="A386" s="7" t="n"/>
      <c r="B386" s="27" t="n"/>
      <c r="C386" s="28" t="n"/>
      <c r="D386" s="28" t="n"/>
      <c r="E386" s="28" t="n"/>
      <c r="F386" s="28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50">
      <c r="A387" s="7" t="n"/>
      <c r="B387" s="27" t="n"/>
      <c r="C387" s="28" t="n"/>
      <c r="D387" s="28" t="n"/>
      <c r="E387" s="28" t="n"/>
      <c r="F387" s="28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50">
      <c r="A388" s="7" t="n"/>
      <c r="B388" s="27" t="n"/>
      <c r="C388" s="28" t="n"/>
      <c r="D388" s="28" t="n"/>
      <c r="E388" s="28" t="n"/>
      <c r="F388" s="28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50">
      <c r="A389" s="7" t="n"/>
      <c r="B389" s="27" t="n"/>
      <c r="C389" s="28" t="n"/>
      <c r="D389" s="28" t="n"/>
      <c r="E389" s="28" t="n"/>
      <c r="F389" s="28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50">
      <c r="A390" s="7" t="n"/>
      <c r="B390" s="27" t="n"/>
      <c r="C390" s="28" t="n"/>
      <c r="D390" s="28" t="n"/>
      <c r="E390" s="28" t="n"/>
      <c r="F390" s="28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50">
      <c r="A391" s="7" t="n"/>
      <c r="B391" s="27" t="n"/>
      <c r="C391" s="28" t="n"/>
      <c r="D391" s="28" t="n"/>
      <c r="E391" s="28" t="n"/>
      <c r="F391" s="28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50">
      <c r="A392" s="7" t="n"/>
      <c r="B392" s="27" t="n"/>
      <c r="C392" s="28" t="n"/>
      <c r="D392" s="28" t="n"/>
      <c r="E392" s="28" t="n"/>
      <c r="F392" s="28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50">
      <c r="A393" s="7" t="n"/>
      <c r="B393" s="27" t="n"/>
      <c r="C393" s="28" t="n"/>
      <c r="D393" s="28" t="n"/>
      <c r="E393" s="28" t="n"/>
      <c r="F393" s="28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50">
      <c r="A394" s="7" t="n"/>
      <c r="B394" s="27" t="n"/>
      <c r="C394" s="28" t="n"/>
      <c r="D394" s="28" t="n"/>
      <c r="E394" s="28" t="n"/>
      <c r="F394" s="28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50">
      <c r="A395" s="7" t="n"/>
      <c r="B395" s="27" t="n"/>
      <c r="C395" s="28" t="n"/>
      <c r="D395" s="28" t="n"/>
      <c r="E395" s="28" t="n"/>
      <c r="F395" s="28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50">
      <c r="A396" s="7" t="n"/>
      <c r="B396" s="27" t="n"/>
      <c r="C396" s="28" t="n"/>
      <c r="D396" s="28" t="n"/>
      <c r="E396" s="28" t="n"/>
      <c r="F396" s="28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50">
      <c r="A397" s="7" t="n"/>
      <c r="B397" s="27" t="n"/>
      <c r="C397" s="28" t="n"/>
      <c r="D397" s="28" t="n"/>
      <c r="E397" s="28" t="n"/>
      <c r="F397" s="28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50">
      <c r="A398" s="7" t="n"/>
      <c r="B398" s="27" t="n"/>
      <c r="C398" s="28" t="n"/>
      <c r="D398" s="28" t="n"/>
      <c r="E398" s="28" t="n"/>
      <c r="F398" s="28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50">
      <c r="A399" s="7" t="n"/>
      <c r="B399" s="27" t="n"/>
      <c r="C399" s="28" t="n"/>
      <c r="D399" s="28" t="n"/>
      <c r="E399" s="28" t="n"/>
      <c r="F399" s="28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50">
      <c r="A400" s="7" t="n"/>
      <c r="B400" s="27" t="n"/>
      <c r="C400" s="28" t="n"/>
      <c r="D400" s="28" t="n"/>
      <c r="E400" s="28" t="n"/>
      <c r="F400" s="28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50">
      <c r="A401" s="7" t="n"/>
      <c r="B401" s="27" t="n"/>
      <c r="C401" s="28" t="n"/>
      <c r="D401" s="28" t="n"/>
      <c r="E401" s="28" t="n"/>
      <c r="F401" s="28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50">
      <c r="A402" s="7" t="n"/>
      <c r="B402" s="27" t="n"/>
      <c r="C402" s="28" t="n"/>
      <c r="D402" s="28" t="n"/>
      <c r="E402" s="28" t="n"/>
      <c r="F402" s="28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50">
      <c r="A403" s="7" t="n"/>
      <c r="B403" s="27" t="n"/>
      <c r="C403" s="28" t="n"/>
      <c r="D403" s="28" t="n"/>
      <c r="E403" s="28" t="n"/>
      <c r="F403" s="28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50">
      <c r="A404" s="7" t="n"/>
      <c r="B404" s="27" t="n"/>
      <c r="C404" s="28" t="n"/>
      <c r="D404" s="28" t="n"/>
      <c r="E404" s="28" t="n"/>
      <c r="F404" s="28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50">
      <c r="A405" s="7" t="n"/>
      <c r="B405" s="27" t="n"/>
      <c r="C405" s="28" t="n"/>
      <c r="D405" s="28" t="n"/>
      <c r="E405" s="28" t="n"/>
      <c r="F405" s="28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50">
      <c r="A406" s="7" t="n"/>
      <c r="B406" s="27" t="n"/>
      <c r="C406" s="28" t="n"/>
      <c r="D406" s="28" t="n"/>
      <c r="E406" s="28" t="n"/>
      <c r="F406" s="28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50">
      <c r="A407" s="7" t="n"/>
      <c r="B407" s="27" t="n"/>
      <c r="C407" s="28" t="n"/>
      <c r="D407" s="28" t="n"/>
      <c r="E407" s="28" t="n"/>
      <c r="F407" s="28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50">
      <c r="A408" s="7" t="n"/>
      <c r="B408" s="27" t="n"/>
      <c r="C408" s="28" t="n"/>
      <c r="D408" s="28" t="n"/>
      <c r="E408" s="28" t="n"/>
      <c r="F408" s="28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50">
      <c r="A409" s="7" t="n"/>
      <c r="B409" s="27" t="n"/>
      <c r="C409" s="28" t="n"/>
      <c r="D409" s="28" t="n"/>
      <c r="E409" s="28" t="n"/>
      <c r="F409" s="28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50">
      <c r="A410" s="7" t="n"/>
      <c r="B410" s="27" t="n"/>
      <c r="C410" s="28" t="n"/>
      <c r="D410" s="28" t="n"/>
      <c r="E410" s="28" t="n"/>
      <c r="F410" s="28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50">
      <c r="A411" s="7" t="n"/>
      <c r="B411" s="27" t="n"/>
      <c r="C411" s="28" t="n"/>
      <c r="D411" s="28" t="n"/>
      <c r="E411" s="28" t="n"/>
      <c r="F411" s="28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50">
      <c r="A412" s="7" t="n"/>
      <c r="B412" s="27" t="n"/>
      <c r="C412" s="28" t="n"/>
      <c r="D412" s="28" t="n"/>
      <c r="E412" s="28" t="n"/>
      <c r="F412" s="28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50">
      <c r="A413" s="7" t="n"/>
      <c r="B413" s="27" t="n"/>
      <c r="C413" s="28" t="n"/>
      <c r="D413" s="28" t="n"/>
      <c r="E413" s="28" t="n"/>
      <c r="F413" s="28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50">
      <c r="A414" s="7" t="n"/>
      <c r="B414" s="27" t="n"/>
      <c r="C414" s="28" t="n"/>
      <c r="D414" s="28" t="n"/>
      <c r="E414" s="28" t="n"/>
      <c r="F414" s="28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50">
      <c r="A415" s="7" t="n"/>
      <c r="B415" s="27" t="n"/>
      <c r="C415" s="28" t="n"/>
      <c r="D415" s="28" t="n"/>
      <c r="E415" s="28" t="n"/>
      <c r="F415" s="28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50">
      <c r="A416" s="7" t="n"/>
      <c r="B416" s="27" t="n"/>
      <c r="C416" s="28" t="n"/>
      <c r="D416" s="28" t="n"/>
      <c r="E416" s="28" t="n"/>
      <c r="F416" s="28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50">
      <c r="A417" s="7" t="n"/>
      <c r="B417" s="27" t="n"/>
      <c r="C417" s="28" t="n"/>
      <c r="D417" s="28" t="n"/>
      <c r="E417" s="28" t="n"/>
      <c r="F417" s="28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50">
      <c r="A418" s="7" t="n"/>
      <c r="B418" s="27" t="n"/>
      <c r="C418" s="28" t="n"/>
      <c r="D418" s="28" t="n"/>
      <c r="E418" s="28" t="n"/>
      <c r="F418" s="28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50">
      <c r="A419" s="7" t="n"/>
      <c r="B419" s="27" t="n"/>
      <c r="C419" s="28" t="n"/>
      <c r="D419" s="28" t="n"/>
      <c r="E419" s="28" t="n"/>
      <c r="F419" s="28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50">
      <c r="A420" s="7" t="n"/>
      <c r="B420" s="27" t="n"/>
      <c r="C420" s="28" t="n"/>
      <c r="D420" s="28" t="n"/>
      <c r="E420" s="28" t="n"/>
      <c r="F420" s="28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50">
      <c r="A421" s="7" t="n"/>
      <c r="B421" s="27" t="n"/>
      <c r="C421" s="28" t="n"/>
      <c r="D421" s="28" t="n"/>
      <c r="E421" s="28" t="n"/>
      <c r="F421" s="28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50">
      <c r="A422" s="7" t="n"/>
      <c r="B422" s="27" t="n"/>
      <c r="C422" s="28" t="n"/>
      <c r="D422" s="28" t="n"/>
      <c r="E422" s="28" t="n"/>
      <c r="F422" s="28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50">
      <c r="A423" s="7" t="n"/>
      <c r="B423" s="27" t="n"/>
      <c r="C423" s="28" t="n"/>
      <c r="D423" s="28" t="n"/>
      <c r="E423" s="28" t="n"/>
      <c r="F423" s="28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50">
      <c r="A424" s="7" t="n"/>
      <c r="B424" s="27" t="n"/>
      <c r="C424" s="28" t="n"/>
      <c r="D424" s="28" t="n"/>
      <c r="E424" s="28" t="n"/>
      <c r="F424" s="28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50">
      <c r="A425" s="7" t="n"/>
      <c r="B425" s="27" t="n"/>
      <c r="C425" s="28" t="n"/>
      <c r="D425" s="28" t="n"/>
      <c r="E425" s="28" t="n"/>
      <c r="F425" s="28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50">
      <c r="A426" s="7" t="n"/>
      <c r="B426" s="27" t="n"/>
      <c r="C426" s="28" t="n"/>
      <c r="D426" s="28" t="n"/>
      <c r="E426" s="28" t="n"/>
      <c r="F426" s="28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50">
      <c r="A427" s="7" t="n"/>
      <c r="B427" s="27" t="n"/>
      <c r="C427" s="28" t="n"/>
      <c r="D427" s="28" t="n"/>
      <c r="E427" s="28" t="n"/>
      <c r="F427" s="28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50">
      <c r="A428" s="7" t="n"/>
      <c r="B428" s="27" t="n"/>
      <c r="C428" s="28" t="n"/>
      <c r="D428" s="28" t="n"/>
      <c r="E428" s="28" t="n"/>
      <c r="F428" s="28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50">
      <c r="A429" s="7" t="n"/>
      <c r="B429" s="27" t="n"/>
      <c r="C429" s="28" t="n"/>
      <c r="D429" s="28" t="n"/>
      <c r="E429" s="28" t="n"/>
      <c r="F429" s="28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50">
      <c r="A430" s="7" t="n"/>
      <c r="B430" s="27" t="n"/>
      <c r="C430" s="28" t="n"/>
      <c r="D430" s="28" t="n"/>
      <c r="E430" s="28" t="n"/>
      <c r="F430" s="28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50">
      <c r="A431" s="7" t="n"/>
      <c r="B431" s="27" t="n"/>
      <c r="C431" s="28" t="n"/>
      <c r="D431" s="28" t="n"/>
      <c r="E431" s="28" t="n"/>
      <c r="F431" s="28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50">
      <c r="A432" s="7" t="n"/>
      <c r="B432" s="27" t="n"/>
      <c r="C432" s="28" t="n"/>
      <c r="D432" s="28" t="n"/>
      <c r="E432" s="28" t="n"/>
      <c r="F432" s="28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50">
      <c r="A433" s="7" t="n"/>
      <c r="B433" s="27" t="n"/>
      <c r="C433" s="28" t="n"/>
      <c r="D433" s="28" t="n"/>
      <c r="E433" s="28" t="n"/>
      <c r="F433" s="28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50">
      <c r="A434" s="7" t="n"/>
      <c r="B434" s="27" t="n"/>
      <c r="C434" s="28" t="n"/>
      <c r="D434" s="28" t="n"/>
      <c r="E434" s="28" t="n"/>
      <c r="F434" s="28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50">
      <c r="A435" s="7" t="n"/>
      <c r="B435" s="27" t="n"/>
      <c r="C435" s="28" t="n"/>
      <c r="D435" s="28" t="n"/>
      <c r="E435" s="28" t="n"/>
      <c r="F435" s="28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50">
      <c r="A436" s="7" t="n"/>
      <c r="B436" s="27" t="n"/>
      <c r="C436" s="28" t="n"/>
      <c r="D436" s="28" t="n"/>
      <c r="E436" s="28" t="n"/>
      <c r="F436" s="28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50">
      <c r="A437" s="7" t="n"/>
      <c r="B437" s="27" t="n"/>
      <c r="C437" s="28" t="n"/>
      <c r="D437" s="28" t="n"/>
      <c r="E437" s="28" t="n"/>
      <c r="F437" s="28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50">
      <c r="A438" s="7" t="n"/>
      <c r="B438" s="27" t="n"/>
      <c r="C438" s="28" t="n"/>
      <c r="D438" s="28" t="n"/>
      <c r="E438" s="28" t="n"/>
      <c r="F438" s="28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50">
      <c r="A439" s="7" t="n"/>
      <c r="B439" s="27" t="n"/>
      <c r="C439" s="28" t="n"/>
      <c r="D439" s="28" t="n"/>
      <c r="E439" s="28" t="n"/>
      <c r="F439" s="28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50">
      <c r="A440" s="7" t="n"/>
      <c r="B440" s="27" t="n"/>
      <c r="C440" s="28" t="n"/>
      <c r="D440" s="28" t="n"/>
      <c r="E440" s="28" t="n"/>
      <c r="F440" s="28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50">
      <c r="A441" s="7" t="n"/>
      <c r="B441" s="27" t="n"/>
      <c r="C441" s="28" t="n"/>
      <c r="D441" s="28" t="n"/>
      <c r="E441" s="28" t="n"/>
      <c r="F441" s="28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50">
      <c r="A442" s="7" t="n"/>
      <c r="B442" s="27" t="n"/>
      <c r="C442" s="28" t="n"/>
      <c r="D442" s="28" t="n"/>
      <c r="E442" s="28" t="n"/>
      <c r="F442" s="28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50">
      <c r="A443" s="7" t="n"/>
      <c r="B443" s="27" t="n"/>
      <c r="C443" s="28" t="n"/>
      <c r="D443" s="28" t="n"/>
      <c r="E443" s="28" t="n"/>
      <c r="F443" s="28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50">
      <c r="A444" s="7" t="n"/>
      <c r="B444" s="27" t="n"/>
      <c r="C444" s="28" t="n"/>
      <c r="D444" s="28" t="n"/>
      <c r="E444" s="28" t="n"/>
      <c r="F444" s="28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50">
      <c r="A445" s="7" t="n"/>
      <c r="B445" s="27" t="n"/>
      <c r="C445" s="28" t="n"/>
      <c r="D445" s="28" t="n"/>
      <c r="E445" s="28" t="n"/>
      <c r="F445" s="28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50">
      <c r="A446" s="7" t="n"/>
      <c r="B446" s="27" t="n"/>
      <c r="C446" s="28" t="n"/>
      <c r="D446" s="28" t="n"/>
      <c r="E446" s="28" t="n"/>
      <c r="F446" s="28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50">
      <c r="A447" s="7" t="n"/>
      <c r="B447" s="27" t="n"/>
      <c r="C447" s="28" t="n"/>
      <c r="D447" s="28" t="n"/>
      <c r="E447" s="28" t="n"/>
      <c r="F447" s="28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50">
      <c r="A448" s="7" t="n"/>
      <c r="B448" s="27" t="n"/>
      <c r="C448" s="28" t="n"/>
      <c r="D448" s="28" t="n"/>
      <c r="E448" s="28" t="n"/>
      <c r="F448" s="28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50">
      <c r="A449" s="7" t="n"/>
      <c r="B449" s="27" t="n"/>
      <c r="C449" s="28" t="n"/>
      <c r="D449" s="28" t="n"/>
      <c r="E449" s="28" t="n"/>
      <c r="F449" s="28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50">
      <c r="A450" s="7" t="n"/>
      <c r="B450" s="27" t="n"/>
      <c r="C450" s="28" t="n"/>
      <c r="D450" s="28" t="n"/>
      <c r="E450" s="28" t="n"/>
      <c r="F450" s="28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50">
      <c r="A451" s="7" t="n"/>
      <c r="B451" s="27" t="n"/>
      <c r="C451" s="28" t="n"/>
      <c r="D451" s="28" t="n"/>
      <c r="E451" s="28" t="n"/>
      <c r="F451" s="28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50">
      <c r="A452" s="7" t="n"/>
      <c r="B452" s="27" t="n"/>
      <c r="C452" s="28" t="n"/>
      <c r="D452" s="28" t="n"/>
      <c r="E452" s="28" t="n"/>
      <c r="F452" s="28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50">
      <c r="A453" s="7" t="n"/>
      <c r="B453" s="27" t="n"/>
      <c r="C453" s="28" t="n"/>
      <c r="D453" s="28" t="n"/>
      <c r="E453" s="28" t="n"/>
      <c r="F453" s="28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50">
      <c r="A454" s="7" t="n"/>
      <c r="B454" s="27" t="n"/>
      <c r="C454" s="28" t="n"/>
      <c r="D454" s="28" t="n"/>
      <c r="E454" s="28" t="n"/>
      <c r="F454" s="28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50">
      <c r="A455" s="7" t="n"/>
      <c r="B455" s="27" t="n"/>
      <c r="C455" s="28" t="n"/>
      <c r="D455" s="28" t="n"/>
      <c r="E455" s="28" t="n"/>
      <c r="F455" s="28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50">
      <c r="A456" s="7" t="n"/>
      <c r="B456" s="27" t="n"/>
      <c r="C456" s="28" t="n"/>
      <c r="D456" s="28" t="n"/>
      <c r="E456" s="28" t="n"/>
      <c r="F456" s="28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50">
      <c r="A457" s="7" t="n"/>
      <c r="B457" s="27" t="n"/>
      <c r="C457" s="28" t="n"/>
      <c r="D457" s="28" t="n"/>
      <c r="E457" s="28" t="n"/>
      <c r="F457" s="28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50">
      <c r="A458" s="7" t="n"/>
      <c r="B458" s="27" t="n"/>
      <c r="C458" s="28" t="n"/>
      <c r="D458" s="28" t="n"/>
      <c r="E458" s="28" t="n"/>
      <c r="F458" s="28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50">
      <c r="A459" s="7" t="n"/>
      <c r="B459" s="27" t="n"/>
      <c r="C459" s="28" t="n"/>
      <c r="D459" s="28" t="n"/>
      <c r="E459" s="28" t="n"/>
      <c r="F459" s="28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50">
      <c r="A460" s="7" t="n"/>
      <c r="B460" s="27" t="n"/>
      <c r="C460" s="28" t="n"/>
      <c r="D460" s="28" t="n"/>
      <c r="E460" s="28" t="n"/>
      <c r="F460" s="28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50">
      <c r="A461" s="7" t="n"/>
      <c r="B461" s="27" t="n"/>
      <c r="C461" s="28" t="n"/>
      <c r="D461" s="28" t="n"/>
      <c r="E461" s="28" t="n"/>
      <c r="F461" s="28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50">
      <c r="A462" s="7" t="n"/>
      <c r="B462" s="27" t="n"/>
      <c r="C462" s="28" t="n"/>
      <c r="D462" s="28" t="n"/>
      <c r="E462" s="28" t="n"/>
      <c r="F462" s="28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50">
      <c r="A463" s="7" t="n"/>
      <c r="B463" s="27" t="n"/>
      <c r="C463" s="28" t="n"/>
      <c r="D463" s="28" t="n"/>
      <c r="E463" s="28" t="n"/>
      <c r="F463" s="28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50">
      <c r="A464" s="7" t="n"/>
      <c r="B464" s="27" t="n"/>
      <c r="C464" s="28" t="n"/>
      <c r="D464" s="28" t="n"/>
      <c r="E464" s="28" t="n"/>
      <c r="F464" s="28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50">
      <c r="A465" s="7" t="n"/>
      <c r="B465" s="27" t="n"/>
      <c r="C465" s="28" t="n"/>
      <c r="D465" s="28" t="n"/>
      <c r="E465" s="28" t="n"/>
      <c r="F465" s="28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50">
      <c r="A466" s="7" t="n"/>
      <c r="B466" s="27" t="n"/>
      <c r="C466" s="28" t="n"/>
      <c r="D466" s="28" t="n"/>
      <c r="E466" s="28" t="n"/>
      <c r="F466" s="28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50">
      <c r="A467" s="7" t="n"/>
      <c r="B467" s="27" t="n"/>
      <c r="C467" s="28" t="n"/>
      <c r="D467" s="28" t="n"/>
      <c r="E467" s="28" t="n"/>
      <c r="F467" s="28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50">
      <c r="A468" s="7" t="n"/>
      <c r="B468" s="27" t="n"/>
      <c r="C468" s="28" t="n"/>
      <c r="D468" s="28" t="n"/>
      <c r="E468" s="28" t="n"/>
      <c r="F468" s="28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50">
      <c r="A469" s="7" t="n"/>
      <c r="B469" s="27" t="n"/>
      <c r="C469" s="28" t="n"/>
      <c r="D469" s="28" t="n"/>
      <c r="E469" s="28" t="n"/>
      <c r="F469" s="28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50">
      <c r="A470" s="7" t="n"/>
      <c r="B470" s="27" t="n"/>
      <c r="C470" s="28" t="n"/>
      <c r="D470" s="28" t="n"/>
      <c r="E470" s="28" t="n"/>
      <c r="F470" s="28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50">
      <c r="A471" s="7" t="n"/>
      <c r="B471" s="27" t="n"/>
      <c r="C471" s="28" t="n"/>
      <c r="D471" s="28" t="n"/>
      <c r="E471" s="28" t="n"/>
      <c r="F471" s="28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50">
      <c r="A472" s="7" t="n"/>
      <c r="B472" s="27" t="n"/>
      <c r="C472" s="28" t="n"/>
      <c r="D472" s="28" t="n"/>
      <c r="E472" s="28" t="n"/>
      <c r="F472" s="28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50">
      <c r="A473" s="7" t="n"/>
      <c r="B473" s="27" t="n"/>
      <c r="C473" s="28" t="n"/>
      <c r="D473" s="28" t="n"/>
      <c r="E473" s="28" t="n"/>
      <c r="F473" s="28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50">
      <c r="A474" s="7" t="n"/>
      <c r="B474" s="27" t="n"/>
      <c r="C474" s="28" t="n"/>
      <c r="D474" s="28" t="n"/>
      <c r="E474" s="28" t="n"/>
      <c r="F474" s="28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50">
      <c r="A475" s="7" t="n"/>
      <c r="B475" s="27" t="n"/>
      <c r="C475" s="28" t="n"/>
      <c r="D475" s="28" t="n"/>
      <c r="E475" s="28" t="n"/>
      <c r="F475" s="28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50">
      <c r="A476" s="7" t="n"/>
      <c r="B476" s="27" t="n"/>
      <c r="C476" s="28" t="n"/>
      <c r="D476" s="28" t="n"/>
      <c r="E476" s="28" t="n"/>
      <c r="F476" s="28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50">
      <c r="A477" s="7" t="n"/>
      <c r="B477" s="27" t="n"/>
      <c r="C477" s="28" t="n"/>
      <c r="D477" s="28" t="n"/>
      <c r="E477" s="28" t="n"/>
      <c r="F477" s="28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50">
      <c r="A478" s="7" t="n"/>
      <c r="B478" s="27" t="n"/>
      <c r="C478" s="28" t="n"/>
      <c r="D478" s="28" t="n"/>
      <c r="E478" s="28" t="n"/>
      <c r="F478" s="28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50">
      <c r="A479" s="7" t="n"/>
      <c r="B479" s="27" t="n"/>
      <c r="C479" s="28" t="n"/>
      <c r="D479" s="28" t="n"/>
      <c r="E479" s="28" t="n"/>
      <c r="F479" s="28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50">
      <c r="A480" s="7" t="n"/>
      <c r="B480" s="27" t="n"/>
      <c r="C480" s="28" t="n"/>
      <c r="D480" s="28" t="n"/>
      <c r="E480" s="28" t="n"/>
      <c r="F480" s="28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50">
      <c r="A481" s="7" t="n"/>
      <c r="B481" s="27" t="n"/>
      <c r="C481" s="28" t="n"/>
      <c r="D481" s="28" t="n"/>
      <c r="E481" s="28" t="n"/>
      <c r="F481" s="28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50">
      <c r="A482" s="7" t="n"/>
      <c r="B482" s="27" t="n"/>
      <c r="C482" s="28" t="n"/>
      <c r="D482" s="28" t="n"/>
      <c r="E482" s="28" t="n"/>
      <c r="F482" s="28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50">
      <c r="A483" s="7" t="n"/>
      <c r="B483" s="27" t="n"/>
      <c r="C483" s="28" t="n"/>
      <c r="D483" s="28" t="n"/>
      <c r="E483" s="28" t="n"/>
      <c r="F483" s="28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50">
      <c r="A484" s="7" t="n"/>
      <c r="B484" s="27" t="n"/>
      <c r="C484" s="28" t="n"/>
      <c r="D484" s="28" t="n"/>
      <c r="E484" s="28" t="n"/>
      <c r="F484" s="28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50">
      <c r="A485" s="7" t="n"/>
      <c r="B485" s="27" t="n"/>
      <c r="C485" s="28" t="n"/>
      <c r="D485" s="28" t="n"/>
      <c r="E485" s="28" t="n"/>
      <c r="F485" s="28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50">
      <c r="A486" s="7" t="n"/>
      <c r="B486" s="27" t="n"/>
      <c r="C486" s="28" t="n"/>
      <c r="D486" s="28" t="n"/>
      <c r="E486" s="28" t="n"/>
      <c r="F486" s="28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50">
      <c r="A487" s="7" t="n"/>
      <c r="B487" s="27" t="n"/>
      <c r="C487" s="28" t="n"/>
      <c r="D487" s="28" t="n"/>
      <c r="E487" s="28" t="n"/>
      <c r="F487" s="28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50">
      <c r="A488" s="7" t="n"/>
      <c r="B488" s="27" t="n"/>
      <c r="C488" s="28" t="n"/>
      <c r="D488" s="28" t="n"/>
      <c r="E488" s="28" t="n"/>
      <c r="F488" s="28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50">
      <c r="A489" s="7" t="n"/>
      <c r="B489" s="27" t="n"/>
      <c r="C489" s="28" t="n"/>
      <c r="D489" s="28" t="n"/>
      <c r="E489" s="28" t="n"/>
      <c r="F489" s="28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50">
      <c r="A490" s="7" t="n"/>
      <c r="B490" s="27" t="n"/>
      <c r="C490" s="28" t="n"/>
      <c r="D490" s="28" t="n"/>
      <c r="E490" s="28" t="n"/>
      <c r="F490" s="28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50">
      <c r="A491" s="7" t="n"/>
      <c r="B491" s="27" t="n"/>
      <c r="C491" s="28" t="n"/>
      <c r="D491" s="28" t="n"/>
      <c r="E491" s="28" t="n"/>
      <c r="F491" s="28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50">
      <c r="A492" s="7" t="n"/>
      <c r="B492" s="27" t="n"/>
      <c r="C492" s="28" t="n"/>
      <c r="D492" s="28" t="n"/>
      <c r="E492" s="28" t="n"/>
      <c r="F492" s="28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50">
      <c r="A493" s="7" t="n"/>
      <c r="B493" s="27" t="n"/>
      <c r="C493" s="28" t="n"/>
      <c r="D493" s="28" t="n"/>
      <c r="E493" s="28" t="n"/>
      <c r="F493" s="28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50">
      <c r="A494" s="7" t="n"/>
      <c r="B494" s="27" t="n"/>
      <c r="C494" s="28" t="n"/>
      <c r="D494" s="28" t="n"/>
      <c r="E494" s="28" t="n"/>
      <c r="F494" s="28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50">
      <c r="A495" s="7" t="n"/>
      <c r="B495" s="27" t="n"/>
      <c r="C495" s="28" t="n"/>
      <c r="D495" s="28" t="n"/>
      <c r="E495" s="28" t="n"/>
      <c r="F495" s="28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50">
      <c r="A496" s="7" t="n"/>
      <c r="B496" s="27" t="n"/>
      <c r="C496" s="28" t="n"/>
      <c r="D496" s="28" t="n"/>
      <c r="E496" s="28" t="n"/>
      <c r="F496" s="28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50">
      <c r="A497" s="7" t="n"/>
      <c r="B497" s="27" t="n"/>
      <c r="C497" s="28" t="n"/>
      <c r="D497" s="28" t="n"/>
      <c r="E497" s="28" t="n"/>
      <c r="F497" s="28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50">
      <c r="A498" s="7" t="n"/>
      <c r="B498" s="27" t="n"/>
      <c r="C498" s="28" t="n"/>
      <c r="D498" s="28" t="n"/>
      <c r="E498" s="28" t="n"/>
      <c r="F498" s="28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50">
      <c r="A499" s="7" t="n"/>
      <c r="B499" s="27" t="n"/>
      <c r="C499" s="28" t="n"/>
      <c r="D499" s="28" t="n"/>
      <c r="E499" s="28" t="n"/>
      <c r="F499" s="28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50">
      <c r="A500" s="7" t="n"/>
      <c r="B500" s="27" t="n"/>
      <c r="C500" s="28" t="n"/>
      <c r="D500" s="28" t="n"/>
      <c r="E500" s="28" t="n"/>
      <c r="F500" s="28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50">
      <c r="A501" s="7" t="n"/>
      <c r="B501" s="27" t="n"/>
      <c r="C501" s="28" t="n"/>
      <c r="D501" s="28" t="n"/>
      <c r="E501" s="28" t="n"/>
      <c r="F501" s="28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50">
      <c r="A502" s="7" t="n"/>
      <c r="B502" s="27" t="n"/>
      <c r="C502" s="28" t="n"/>
      <c r="D502" s="28" t="n"/>
      <c r="E502" s="28" t="n"/>
      <c r="F502" s="28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50">
      <c r="A503" s="7" t="n"/>
      <c r="B503" s="27" t="n"/>
      <c r="C503" s="28" t="n"/>
      <c r="D503" s="28" t="n"/>
      <c r="E503" s="28" t="n"/>
      <c r="F503" s="28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50">
      <c r="A504" s="7" t="n"/>
      <c r="B504" s="27" t="n"/>
      <c r="C504" s="28" t="n"/>
      <c r="D504" s="28" t="n"/>
      <c r="E504" s="28" t="n"/>
      <c r="F504" s="28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50">
      <c r="A505" s="7" t="n"/>
      <c r="B505" s="27" t="n"/>
      <c r="C505" s="28" t="n"/>
      <c r="D505" s="28" t="n"/>
      <c r="E505" s="28" t="n"/>
      <c r="F505" s="28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50">
      <c r="A506" s="7" t="n"/>
      <c r="B506" s="27" t="n"/>
      <c r="C506" s="28" t="n"/>
      <c r="D506" s="28" t="n"/>
      <c r="E506" s="28" t="n"/>
      <c r="F506" s="28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50">
      <c r="A507" s="7" t="n"/>
      <c r="B507" s="27" t="n"/>
      <c r="C507" s="28" t="n"/>
      <c r="D507" s="28" t="n"/>
      <c r="E507" s="28" t="n"/>
      <c r="F507" s="28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50">
      <c r="A508" s="7" t="n"/>
      <c r="B508" s="27" t="n"/>
      <c r="C508" s="28" t="n"/>
      <c r="D508" s="28" t="n"/>
      <c r="E508" s="28" t="n"/>
      <c r="F508" s="28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50">
      <c r="A509" s="7" t="n"/>
      <c r="B509" s="27" t="n"/>
      <c r="C509" s="28" t="n"/>
      <c r="D509" s="28" t="n"/>
      <c r="E509" s="28" t="n"/>
      <c r="F509" s="28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50">
      <c r="A510" s="7" t="n"/>
      <c r="B510" s="27" t="n"/>
      <c r="C510" s="28" t="n"/>
      <c r="D510" s="28" t="n"/>
      <c r="E510" s="28" t="n"/>
      <c r="F510" s="28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50">
      <c r="A511" s="7" t="n"/>
      <c r="B511" s="27" t="n"/>
      <c r="C511" s="28" t="n"/>
      <c r="D511" s="28" t="n"/>
      <c r="E511" s="28" t="n"/>
      <c r="F511" s="28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50">
      <c r="A512" s="7" t="n"/>
      <c r="B512" s="27" t="n"/>
      <c r="C512" s="28" t="n"/>
      <c r="D512" s="28" t="n"/>
      <c r="E512" s="28" t="n"/>
      <c r="F512" s="28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50">
      <c r="A513" s="7" t="n"/>
      <c r="B513" s="27" t="n"/>
      <c r="C513" s="28" t="n"/>
      <c r="D513" s="28" t="n"/>
      <c r="E513" s="28" t="n"/>
      <c r="F513" s="28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50">
      <c r="A514" s="7" t="n"/>
      <c r="B514" s="27" t="n"/>
      <c r="C514" s="28" t="n"/>
      <c r="D514" s="28" t="n"/>
      <c r="E514" s="28" t="n"/>
      <c r="F514" s="28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50">
      <c r="A515" s="7" t="n"/>
      <c r="B515" s="27" t="n"/>
      <c r="C515" s="28" t="n"/>
      <c r="D515" s="28" t="n"/>
      <c r="E515" s="28" t="n"/>
      <c r="F515" s="28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50">
      <c r="A516" s="7" t="n"/>
      <c r="B516" s="27" t="n"/>
      <c r="C516" s="28" t="n"/>
      <c r="D516" s="28" t="n"/>
      <c r="E516" s="28" t="n"/>
      <c r="F516" s="28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50">
      <c r="A517" s="7" t="n"/>
      <c r="B517" s="27" t="n"/>
      <c r="C517" s="28" t="n"/>
      <c r="D517" s="28" t="n"/>
      <c r="E517" s="28" t="n"/>
      <c r="F517" s="28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50">
      <c r="A518" s="7" t="n"/>
      <c r="B518" s="27" t="n"/>
      <c r="C518" s="28" t="n"/>
      <c r="D518" s="28" t="n"/>
      <c r="E518" s="28" t="n"/>
      <c r="F518" s="28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50">
      <c r="A519" s="7" t="n"/>
      <c r="B519" s="27" t="n"/>
      <c r="C519" s="28" t="n"/>
      <c r="D519" s="28" t="n"/>
      <c r="E519" s="28" t="n"/>
      <c r="F519" s="28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50">
      <c r="A520" s="7" t="n"/>
      <c r="B520" s="27" t="n"/>
      <c r="C520" s="28" t="n"/>
      <c r="D520" s="28" t="n"/>
      <c r="E520" s="28" t="n"/>
      <c r="F520" s="28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50">
      <c r="A521" s="7" t="n"/>
      <c r="B521" s="27" t="n"/>
      <c r="C521" s="28" t="n"/>
      <c r="D521" s="28" t="n"/>
      <c r="E521" s="28" t="n"/>
      <c r="F521" s="28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50">
      <c r="A522" s="7" t="n"/>
      <c r="B522" s="27" t="n"/>
      <c r="C522" s="28" t="n"/>
      <c r="D522" s="28" t="n"/>
      <c r="E522" s="28" t="n"/>
      <c r="F522" s="28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50">
      <c r="A523" s="7" t="n"/>
      <c r="B523" s="27" t="n"/>
      <c r="C523" s="28" t="n"/>
      <c r="D523" s="28" t="n"/>
      <c r="E523" s="28" t="n"/>
      <c r="F523" s="28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50">
      <c r="A524" s="7" t="n"/>
      <c r="B524" s="27" t="n"/>
      <c r="C524" s="28" t="n"/>
      <c r="D524" s="28" t="n"/>
      <c r="E524" s="28" t="n"/>
      <c r="F524" s="28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50">
      <c r="A525" s="7" t="n"/>
      <c r="B525" s="27" t="n"/>
      <c r="C525" s="28" t="n"/>
      <c r="D525" s="28" t="n"/>
      <c r="E525" s="28" t="n"/>
      <c r="F525" s="28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50">
      <c r="A526" s="7" t="n"/>
      <c r="B526" s="27" t="n"/>
      <c r="C526" s="28" t="n"/>
      <c r="D526" s="28" t="n"/>
      <c r="E526" s="28" t="n"/>
      <c r="F526" s="28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50">
      <c r="A527" s="7" t="n"/>
      <c r="B527" s="27" t="n"/>
      <c r="C527" s="28" t="n"/>
      <c r="D527" s="28" t="n"/>
      <c r="E527" s="28" t="n"/>
      <c r="F527" s="28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50">
      <c r="A528" s="7" t="n"/>
      <c r="B528" s="27" t="n"/>
      <c r="C528" s="28" t="n"/>
      <c r="D528" s="28" t="n"/>
      <c r="E528" s="28" t="n"/>
      <c r="F528" s="28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50">
      <c r="A529" s="7" t="n"/>
      <c r="B529" s="27" t="n"/>
      <c r="C529" s="28" t="n"/>
      <c r="D529" s="28" t="n"/>
      <c r="E529" s="28" t="n"/>
      <c r="F529" s="28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50">
      <c r="A530" s="7" t="n"/>
      <c r="B530" s="27" t="n"/>
      <c r="C530" s="28" t="n"/>
      <c r="D530" s="28" t="n"/>
      <c r="E530" s="28" t="n"/>
      <c r="F530" s="28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50">
      <c r="A531" s="7" t="n"/>
      <c r="B531" s="27" t="n"/>
      <c r="C531" s="28" t="n"/>
      <c r="D531" s="28" t="n"/>
      <c r="E531" s="28" t="n"/>
      <c r="F531" s="28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50">
      <c r="A532" s="7" t="n"/>
      <c r="B532" s="27" t="n"/>
      <c r="C532" s="28" t="n"/>
      <c r="D532" s="28" t="n"/>
      <c r="E532" s="28" t="n"/>
      <c r="F532" s="28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50">
      <c r="A533" s="7" t="n"/>
      <c r="B533" s="27" t="n"/>
      <c r="C533" s="28" t="n"/>
      <c r="D533" s="28" t="n"/>
      <c r="E533" s="28" t="n"/>
      <c r="F533" s="28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50">
      <c r="A534" s="7" t="n"/>
      <c r="B534" s="27" t="n"/>
      <c r="C534" s="28" t="n"/>
      <c r="D534" s="28" t="n"/>
      <c r="E534" s="28" t="n"/>
      <c r="F534" s="28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50">
      <c r="A535" s="7" t="n"/>
      <c r="B535" s="27" t="n"/>
      <c r="C535" s="28" t="n"/>
      <c r="D535" s="28" t="n"/>
      <c r="E535" s="28" t="n"/>
      <c r="F535" s="28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50">
      <c r="A536" s="7" t="n"/>
      <c r="B536" s="27" t="n"/>
      <c r="C536" s="28" t="n"/>
      <c r="D536" s="28" t="n"/>
      <c r="E536" s="28" t="n"/>
      <c r="F536" s="28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50">
      <c r="A537" s="7" t="n"/>
      <c r="B537" s="27" t="n"/>
      <c r="C537" s="28" t="n"/>
      <c r="D537" s="28" t="n"/>
      <c r="E537" s="28" t="n"/>
      <c r="F537" s="28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50">
      <c r="A538" s="7" t="n"/>
      <c r="B538" s="27" t="n"/>
      <c r="C538" s="28" t="n"/>
      <c r="D538" s="28" t="n"/>
      <c r="E538" s="28" t="n"/>
      <c r="F538" s="28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50">
      <c r="A539" s="7" t="n"/>
      <c r="B539" s="27" t="n"/>
      <c r="C539" s="28" t="n"/>
      <c r="D539" s="28" t="n"/>
      <c r="E539" s="28" t="n"/>
      <c r="F539" s="28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50">
      <c r="A540" s="7" t="n"/>
      <c r="B540" s="27" t="n"/>
      <c r="C540" s="28" t="n"/>
      <c r="D540" s="28" t="n"/>
      <c r="E540" s="28" t="n"/>
      <c r="F540" s="28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50">
      <c r="A541" s="7" t="n"/>
      <c r="B541" s="27" t="n"/>
      <c r="C541" s="28" t="n"/>
      <c r="D541" s="28" t="n"/>
      <c r="E541" s="28" t="n"/>
      <c r="F541" s="28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50">
      <c r="A542" s="7" t="n"/>
      <c r="B542" s="27" t="n"/>
      <c r="C542" s="28" t="n"/>
      <c r="D542" s="28" t="n"/>
      <c r="E542" s="28" t="n"/>
      <c r="F542" s="28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50">
      <c r="A543" s="7" t="n"/>
      <c r="B543" s="27" t="n"/>
      <c r="C543" s="28" t="n"/>
      <c r="D543" s="28" t="n"/>
      <c r="E543" s="28" t="n"/>
      <c r="F543" s="28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50">
      <c r="A544" s="7" t="n"/>
      <c r="B544" s="27" t="n"/>
      <c r="C544" s="28" t="n"/>
      <c r="D544" s="28" t="n"/>
      <c r="E544" s="28" t="n"/>
      <c r="F544" s="28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50">
      <c r="A545" s="7" t="n"/>
      <c r="B545" s="27" t="n"/>
      <c r="C545" s="28" t="n"/>
      <c r="D545" s="28" t="n"/>
      <c r="E545" s="28" t="n"/>
      <c r="F545" s="28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50">
      <c r="A546" s="7" t="n"/>
      <c r="B546" s="27" t="n"/>
      <c r="C546" s="28" t="n"/>
      <c r="D546" s="28" t="n"/>
      <c r="E546" s="28" t="n"/>
      <c r="F546" s="28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50">
      <c r="A547" s="7" t="n"/>
      <c r="B547" s="27" t="n"/>
      <c r="C547" s="28" t="n"/>
      <c r="D547" s="28" t="n"/>
      <c r="E547" s="28" t="n"/>
      <c r="F547" s="28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50">
      <c r="A548" s="7" t="n"/>
      <c r="B548" s="27" t="n"/>
      <c r="C548" s="28" t="n"/>
      <c r="D548" s="28" t="n"/>
      <c r="E548" s="28" t="n"/>
      <c r="F548" s="28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50">
      <c r="A549" s="7" t="n"/>
      <c r="B549" s="27" t="n"/>
      <c r="C549" s="28" t="n"/>
      <c r="D549" s="28" t="n"/>
      <c r="E549" s="28" t="n"/>
      <c r="F549" s="28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50">
      <c r="A550" s="7" t="n"/>
      <c r="B550" s="27" t="n"/>
      <c r="C550" s="28" t="n"/>
      <c r="D550" s="28" t="n"/>
      <c r="E550" s="28" t="n"/>
      <c r="F550" s="28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50">
      <c r="A551" s="7" t="n"/>
      <c r="B551" s="27" t="n"/>
      <c r="C551" s="28" t="n"/>
      <c r="D551" s="28" t="n"/>
      <c r="E551" s="28" t="n"/>
      <c r="F551" s="28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50">
      <c r="A552" s="7" t="n"/>
      <c r="B552" s="27" t="n"/>
      <c r="C552" s="28" t="n"/>
      <c r="D552" s="28" t="n"/>
      <c r="E552" s="28" t="n"/>
      <c r="F552" s="28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50">
      <c r="A553" s="7" t="n"/>
      <c r="B553" s="27" t="n"/>
      <c r="C553" s="28" t="n"/>
      <c r="D553" s="28" t="n"/>
      <c r="E553" s="28" t="n"/>
      <c r="F553" s="28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50">
      <c r="A554" s="7" t="n"/>
      <c r="B554" s="27" t="n"/>
      <c r="C554" s="28" t="n"/>
      <c r="D554" s="28" t="n"/>
      <c r="E554" s="28" t="n"/>
      <c r="F554" s="28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50">
      <c r="A555" s="7" t="n"/>
      <c r="B555" s="27" t="n"/>
      <c r="C555" s="28" t="n"/>
      <c r="D555" s="28" t="n"/>
      <c r="E555" s="28" t="n"/>
      <c r="F555" s="28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50">
      <c r="A556" s="7" t="n"/>
      <c r="B556" s="27" t="n"/>
      <c r="C556" s="28" t="n"/>
      <c r="D556" s="28" t="n"/>
      <c r="E556" s="28" t="n"/>
      <c r="F556" s="28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50">
      <c r="A557" s="7" t="n"/>
      <c r="B557" s="27" t="n"/>
      <c r="C557" s="28" t="n"/>
      <c r="D557" s="28" t="n"/>
      <c r="E557" s="28" t="n"/>
      <c r="F557" s="28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50">
      <c r="A558" s="7" t="n"/>
      <c r="B558" s="27" t="n"/>
      <c r="C558" s="28" t="n"/>
      <c r="D558" s="28" t="n"/>
      <c r="E558" s="28" t="n"/>
      <c r="F558" s="28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50">
      <c r="A559" s="7" t="n"/>
      <c r="B559" s="27" t="n"/>
      <c r="C559" s="28" t="n"/>
      <c r="D559" s="28" t="n"/>
      <c r="E559" s="28" t="n"/>
      <c r="F559" s="28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50">
      <c r="A560" s="7" t="n"/>
      <c r="B560" s="27" t="n"/>
      <c r="C560" s="28" t="n"/>
      <c r="D560" s="28" t="n"/>
      <c r="E560" s="28" t="n"/>
      <c r="F560" s="28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50">
      <c r="A561" s="7" t="n"/>
      <c r="B561" s="27" t="n"/>
      <c r="C561" s="28" t="n"/>
      <c r="D561" s="28" t="n"/>
      <c r="E561" s="28" t="n"/>
      <c r="F561" s="28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50">
      <c r="A562" s="7" t="n"/>
      <c r="B562" s="27" t="n"/>
      <c r="C562" s="28" t="n"/>
      <c r="D562" s="28" t="n"/>
      <c r="E562" s="28" t="n"/>
      <c r="F562" s="28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50">
      <c r="A563" s="7" t="n"/>
      <c r="B563" s="27" t="n"/>
      <c r="C563" s="28" t="n"/>
      <c r="D563" s="28" t="n"/>
      <c r="E563" s="28" t="n"/>
      <c r="F563" s="28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50">
      <c r="A564" s="7" t="n"/>
      <c r="B564" s="27" t="n"/>
      <c r="C564" s="28" t="n"/>
      <c r="D564" s="28" t="n"/>
      <c r="E564" s="28" t="n"/>
      <c r="F564" s="28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50">
      <c r="A565" s="7" t="n"/>
      <c r="B565" s="27" t="n"/>
      <c r="C565" s="28" t="n"/>
      <c r="D565" s="28" t="n"/>
      <c r="E565" s="28" t="n"/>
      <c r="F565" s="28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50">
      <c r="A566" s="7" t="n"/>
      <c r="B566" s="27" t="n"/>
      <c r="C566" s="28" t="n"/>
      <c r="D566" s="28" t="n"/>
      <c r="E566" s="28" t="n"/>
      <c r="F566" s="28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50">
      <c r="A567" s="7" t="n"/>
      <c r="B567" s="27" t="n"/>
      <c r="C567" s="28" t="n"/>
      <c r="D567" s="28" t="n"/>
      <c r="E567" s="28" t="n"/>
      <c r="F567" s="28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50">
      <c r="A568" s="7" t="n"/>
      <c r="B568" s="27" t="n"/>
      <c r="C568" s="28" t="n"/>
      <c r="D568" s="28" t="n"/>
      <c r="E568" s="28" t="n"/>
      <c r="F568" s="28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50">
      <c r="A569" s="7" t="n"/>
      <c r="B569" s="27" t="n"/>
      <c r="C569" s="28" t="n"/>
      <c r="D569" s="28" t="n"/>
      <c r="E569" s="28" t="n"/>
      <c r="F569" s="28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50">
      <c r="A570" s="7" t="n"/>
      <c r="B570" s="27" t="n"/>
      <c r="C570" s="28" t="n"/>
      <c r="D570" s="28" t="n"/>
      <c r="E570" s="28" t="n"/>
      <c r="F570" s="28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50">
      <c r="A571" s="7" t="n"/>
      <c r="B571" s="27" t="n"/>
      <c r="C571" s="28" t="n"/>
      <c r="D571" s="28" t="n"/>
      <c r="E571" s="28" t="n"/>
      <c r="F571" s="28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50">
      <c r="A572" s="7" t="n"/>
      <c r="B572" s="27" t="n"/>
      <c r="C572" s="28" t="n"/>
      <c r="D572" s="28" t="n"/>
      <c r="E572" s="28" t="n"/>
      <c r="F572" s="28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50">
      <c r="A573" s="7" t="n"/>
      <c r="B573" s="27" t="n"/>
      <c r="C573" s="28" t="n"/>
      <c r="D573" s="28" t="n"/>
      <c r="E573" s="28" t="n"/>
      <c r="F573" s="28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50">
      <c r="A574" s="7" t="n"/>
      <c r="B574" s="27" t="n"/>
      <c r="C574" s="28" t="n"/>
      <c r="D574" s="28" t="n"/>
      <c r="E574" s="28" t="n"/>
      <c r="F574" s="28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50">
      <c r="A575" s="7" t="n"/>
      <c r="B575" s="27" t="n"/>
      <c r="C575" s="28" t="n"/>
      <c r="D575" s="28" t="n"/>
      <c r="E575" s="28" t="n"/>
      <c r="F575" s="28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50">
      <c r="A576" s="7" t="n"/>
      <c r="B576" s="27" t="n"/>
      <c r="C576" s="28" t="n"/>
      <c r="D576" s="28" t="n"/>
      <c r="E576" s="28" t="n"/>
      <c r="F576" s="28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50">
      <c r="A577" s="7" t="n"/>
      <c r="B577" s="27" t="n"/>
      <c r="C577" s="28" t="n"/>
      <c r="D577" s="28" t="n"/>
      <c r="E577" s="28" t="n"/>
      <c r="F577" s="28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50">
      <c r="A578" s="7" t="n"/>
      <c r="B578" s="27" t="n"/>
      <c r="C578" s="28" t="n"/>
      <c r="D578" s="28" t="n"/>
      <c r="E578" s="28" t="n"/>
      <c r="F578" s="28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50">
      <c r="A579" s="7" t="n"/>
      <c r="B579" s="27" t="n"/>
      <c r="C579" s="28" t="n"/>
      <c r="D579" s="28" t="n"/>
      <c r="E579" s="28" t="n"/>
      <c r="F579" s="28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50">
      <c r="A580" s="7" t="n"/>
      <c r="B580" s="27" t="n"/>
      <c r="C580" s="28" t="n"/>
      <c r="D580" s="28" t="n"/>
      <c r="E580" s="28" t="n"/>
      <c r="F580" s="28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50">
      <c r="A581" s="7" t="n"/>
      <c r="B581" s="27" t="n"/>
      <c r="C581" s="28" t="n"/>
      <c r="D581" s="28" t="n"/>
      <c r="E581" s="28" t="n"/>
      <c r="F581" s="28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50">
      <c r="A582" s="7" t="n"/>
      <c r="B582" s="27" t="n"/>
      <c r="C582" s="28" t="n"/>
      <c r="D582" s="28" t="n"/>
      <c r="E582" s="28" t="n"/>
      <c r="F582" s="28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50">
      <c r="A583" s="7" t="n"/>
      <c r="B583" s="27" t="n"/>
      <c r="C583" s="28" t="n"/>
      <c r="D583" s="28" t="n"/>
      <c r="E583" s="28" t="n"/>
      <c r="F583" s="28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50">
      <c r="A584" s="7" t="n"/>
      <c r="B584" s="27" t="n"/>
      <c r="C584" s="28" t="n"/>
      <c r="D584" s="28" t="n"/>
      <c r="E584" s="28" t="n"/>
      <c r="F584" s="28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50">
      <c r="A585" s="7" t="n"/>
      <c r="B585" s="27" t="n"/>
      <c r="C585" s="28" t="n"/>
      <c r="D585" s="28" t="n"/>
      <c r="E585" s="28" t="n"/>
      <c r="F585" s="28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50">
      <c r="A586" s="7" t="n"/>
      <c r="B586" s="27" t="n"/>
      <c r="C586" s="28" t="n"/>
      <c r="D586" s="28" t="n"/>
      <c r="E586" s="28" t="n"/>
      <c r="F586" s="28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50">
      <c r="A587" s="7" t="n"/>
      <c r="B587" s="27" t="n"/>
      <c r="C587" s="28" t="n"/>
      <c r="D587" s="28" t="n"/>
      <c r="E587" s="28" t="n"/>
      <c r="F587" s="28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50">
      <c r="A588" s="7" t="n"/>
      <c r="B588" s="27" t="n"/>
      <c r="C588" s="28" t="n"/>
      <c r="D588" s="28" t="n"/>
      <c r="E588" s="28" t="n"/>
      <c r="F588" s="28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50">
      <c r="A589" s="7" t="n"/>
      <c r="B589" s="27" t="n"/>
      <c r="C589" s="28" t="n"/>
      <c r="D589" s="28" t="n"/>
      <c r="E589" s="28" t="n"/>
      <c r="F589" s="28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50">
      <c r="A590" s="7" t="n"/>
      <c r="B590" s="27" t="n"/>
      <c r="C590" s="28" t="n"/>
      <c r="D590" s="28" t="n"/>
      <c r="E590" s="28" t="n"/>
      <c r="F590" s="28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50">
      <c r="A591" s="7" t="n"/>
      <c r="B591" s="27" t="n"/>
      <c r="C591" s="28" t="n"/>
      <c r="D591" s="28" t="n"/>
      <c r="E591" s="28" t="n"/>
      <c r="F591" s="28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50">
      <c r="A592" s="7" t="n"/>
      <c r="B592" s="27" t="n"/>
      <c r="C592" s="28" t="n"/>
      <c r="D592" s="28" t="n"/>
      <c r="E592" s="28" t="n"/>
      <c r="F592" s="28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50">
      <c r="A593" s="7" t="n"/>
      <c r="B593" s="27" t="n"/>
      <c r="C593" s="28" t="n"/>
      <c r="D593" s="28" t="n"/>
      <c r="E593" s="28" t="n"/>
      <c r="F593" s="28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50">
      <c r="A594" s="7" t="n"/>
      <c r="B594" s="27" t="n"/>
      <c r="C594" s="28" t="n"/>
      <c r="D594" s="28" t="n"/>
      <c r="E594" s="28" t="n"/>
      <c r="F594" s="28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50">
      <c r="A595" s="7" t="n"/>
      <c r="B595" s="27" t="n"/>
      <c r="C595" s="28" t="n"/>
      <c r="D595" s="28" t="n"/>
      <c r="E595" s="28" t="n"/>
      <c r="F595" s="28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50">
      <c r="A596" s="7" t="n"/>
      <c r="B596" s="27" t="n"/>
      <c r="C596" s="28" t="n"/>
      <c r="D596" s="28" t="n"/>
      <c r="E596" s="28" t="n"/>
      <c r="F596" s="28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50">
      <c r="A597" s="7" t="n"/>
      <c r="B597" s="27" t="n"/>
      <c r="C597" s="28" t="n"/>
      <c r="D597" s="28" t="n"/>
      <c r="E597" s="28" t="n"/>
      <c r="F597" s="28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50">
      <c r="A598" s="7" t="n"/>
      <c r="B598" s="27" t="n"/>
      <c r="C598" s="28" t="n"/>
      <c r="D598" s="28" t="n"/>
      <c r="E598" s="28" t="n"/>
      <c r="F598" s="28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50">
      <c r="A599" s="7" t="n"/>
      <c r="B599" s="27" t="n"/>
      <c r="C599" s="28" t="n"/>
      <c r="D599" s="28" t="n"/>
      <c r="E599" s="28" t="n"/>
      <c r="F599" s="28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50">
      <c r="A600" s="7" t="n"/>
      <c r="B600" s="27" t="n"/>
      <c r="C600" s="28" t="n"/>
      <c r="D600" s="28" t="n"/>
      <c r="E600" s="28" t="n"/>
      <c r="F600" s="28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50">
      <c r="A601" s="7" t="n"/>
      <c r="B601" s="27" t="n"/>
      <c r="C601" s="28" t="n"/>
      <c r="D601" s="28" t="n"/>
      <c r="E601" s="28" t="n"/>
      <c r="F601" s="28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50">
      <c r="A602" s="7" t="n"/>
      <c r="B602" s="27" t="n"/>
      <c r="C602" s="28" t="n"/>
      <c r="D602" s="28" t="n"/>
      <c r="E602" s="28" t="n"/>
      <c r="F602" s="28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50">
      <c r="A603" s="7" t="n"/>
      <c r="B603" s="27" t="n"/>
      <c r="C603" s="28" t="n"/>
      <c r="D603" s="28" t="n"/>
      <c r="E603" s="28" t="n"/>
      <c r="F603" s="28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50">
      <c r="A604" s="7" t="n"/>
      <c r="B604" s="27" t="n"/>
      <c r="C604" s="28" t="n"/>
      <c r="D604" s="28" t="n"/>
      <c r="E604" s="28" t="n"/>
      <c r="F604" s="28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50">
      <c r="A605" s="7" t="n"/>
      <c r="B605" s="27" t="n"/>
      <c r="C605" s="28" t="n"/>
      <c r="D605" s="28" t="n"/>
      <c r="E605" s="28" t="n"/>
      <c r="F605" s="28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50">
      <c r="A606" s="7" t="n"/>
      <c r="B606" s="27" t="n"/>
      <c r="C606" s="28" t="n"/>
      <c r="D606" s="28" t="n"/>
      <c r="E606" s="28" t="n"/>
      <c r="F606" s="28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50">
      <c r="A607" s="7" t="n"/>
      <c r="B607" s="27" t="n"/>
      <c r="C607" s="28" t="n"/>
      <c r="D607" s="28" t="n"/>
      <c r="E607" s="28" t="n"/>
      <c r="F607" s="28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50">
      <c r="A608" s="7" t="n"/>
      <c r="B608" s="27" t="n"/>
      <c r="C608" s="28" t="n"/>
      <c r="D608" s="28" t="n"/>
      <c r="E608" s="28" t="n"/>
      <c r="F608" s="28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50">
      <c r="A609" s="7" t="n"/>
      <c r="B609" s="27" t="n"/>
      <c r="C609" s="28" t="n"/>
      <c r="D609" s="28" t="n"/>
      <c r="E609" s="28" t="n"/>
      <c r="F609" s="28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50">
      <c r="A610" s="7" t="n"/>
      <c r="B610" s="27" t="n"/>
      <c r="C610" s="28" t="n"/>
      <c r="D610" s="28" t="n"/>
      <c r="E610" s="28" t="n"/>
      <c r="F610" s="28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50">
      <c r="A611" s="7" t="n"/>
      <c r="B611" s="27" t="n"/>
      <c r="C611" s="28" t="n"/>
      <c r="D611" s="28" t="n"/>
      <c r="E611" s="28" t="n"/>
      <c r="F611" s="28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50">
      <c r="A612" s="7" t="n"/>
      <c r="B612" s="27" t="n"/>
      <c r="C612" s="28" t="n"/>
      <c r="D612" s="28" t="n"/>
      <c r="E612" s="28" t="n"/>
      <c r="F612" s="28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50">
      <c r="A613" s="7" t="n"/>
      <c r="B613" s="27" t="n"/>
      <c r="C613" s="28" t="n"/>
      <c r="D613" s="28" t="n"/>
      <c r="E613" s="28" t="n"/>
      <c r="F613" s="28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50">
      <c r="A614" s="7" t="n"/>
      <c r="B614" s="27" t="n"/>
      <c r="C614" s="28" t="n"/>
      <c r="D614" s="28" t="n"/>
      <c r="E614" s="28" t="n"/>
      <c r="F614" s="28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50">
      <c r="A615" s="7" t="n"/>
      <c r="B615" s="27" t="n"/>
      <c r="C615" s="28" t="n"/>
      <c r="D615" s="28" t="n"/>
      <c r="E615" s="28" t="n"/>
      <c r="F615" s="28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50">
      <c r="A616" s="7" t="n"/>
      <c r="B616" s="27" t="n"/>
      <c r="C616" s="28" t="n"/>
      <c r="D616" s="28" t="n"/>
      <c r="E616" s="28" t="n"/>
      <c r="F616" s="28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50">
      <c r="A617" s="7" t="n"/>
      <c r="B617" s="27" t="n"/>
      <c r="C617" s="28" t="n"/>
      <c r="D617" s="28" t="n"/>
      <c r="E617" s="28" t="n"/>
      <c r="F617" s="28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50">
      <c r="A618" s="7" t="n"/>
      <c r="B618" s="27" t="n"/>
      <c r="C618" s="28" t="n"/>
      <c r="D618" s="28" t="n"/>
      <c r="E618" s="28" t="n"/>
      <c r="F618" s="28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50">
      <c r="A619" s="7" t="n"/>
      <c r="B619" s="27" t="n"/>
      <c r="C619" s="28" t="n"/>
      <c r="D619" s="28" t="n"/>
      <c r="E619" s="28" t="n"/>
      <c r="F619" s="28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50">
      <c r="A620" s="7" t="n"/>
      <c r="B620" s="27" t="n"/>
      <c r="C620" s="28" t="n"/>
      <c r="D620" s="28" t="n"/>
      <c r="E620" s="28" t="n"/>
      <c r="F620" s="28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50">
      <c r="A621" s="7" t="n"/>
      <c r="B621" s="27" t="n"/>
      <c r="C621" s="28" t="n"/>
      <c r="D621" s="28" t="n"/>
      <c r="E621" s="28" t="n"/>
      <c r="F621" s="28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50">
      <c r="A622" s="7" t="n"/>
      <c r="B622" s="27" t="n"/>
      <c r="C622" s="28" t="n"/>
      <c r="D622" s="28" t="n"/>
      <c r="E622" s="28" t="n"/>
      <c r="F622" s="28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50">
      <c r="A623" s="7" t="n"/>
      <c r="B623" s="27" t="n"/>
      <c r="C623" s="28" t="n"/>
      <c r="D623" s="28" t="n"/>
      <c r="E623" s="28" t="n"/>
      <c r="F623" s="28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50">
      <c r="A624" s="7" t="n"/>
      <c r="B624" s="27" t="n"/>
      <c r="C624" s="28" t="n"/>
      <c r="D624" s="28" t="n"/>
      <c r="E624" s="28" t="n"/>
      <c r="F624" s="28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50">
      <c r="A625" s="7" t="n"/>
      <c r="B625" s="27" t="n"/>
      <c r="C625" s="28" t="n"/>
      <c r="D625" s="28" t="n"/>
      <c r="E625" s="28" t="n"/>
      <c r="F625" s="28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50">
      <c r="A626" s="7" t="n"/>
      <c r="B626" s="27" t="n"/>
      <c r="C626" s="28" t="n"/>
      <c r="D626" s="28" t="n"/>
      <c r="E626" s="28" t="n"/>
      <c r="F626" s="28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50">
      <c r="A627" s="7" t="n"/>
      <c r="B627" s="27" t="n"/>
      <c r="C627" s="28" t="n"/>
      <c r="D627" s="28" t="n"/>
      <c r="E627" s="28" t="n"/>
      <c r="F627" s="28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50">
      <c r="A628" s="7" t="n"/>
      <c r="B628" s="27" t="n"/>
      <c r="C628" s="28" t="n"/>
      <c r="D628" s="28" t="n"/>
      <c r="E628" s="28" t="n"/>
      <c r="F628" s="28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50">
      <c r="A629" s="7" t="n"/>
      <c r="B629" s="27" t="n"/>
      <c r="C629" s="28" t="n"/>
      <c r="D629" s="28" t="n"/>
      <c r="E629" s="28" t="n"/>
      <c r="F629" s="28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50">
      <c r="A630" s="7" t="n"/>
      <c r="B630" s="27" t="n"/>
      <c r="C630" s="28" t="n"/>
      <c r="D630" s="28" t="n"/>
      <c r="E630" s="28" t="n"/>
      <c r="F630" s="28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50">
      <c r="A631" s="7" t="n"/>
      <c r="B631" s="27" t="n"/>
      <c r="C631" s="28" t="n"/>
      <c r="D631" s="28" t="n"/>
      <c r="E631" s="28" t="n"/>
      <c r="F631" s="28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50">
      <c r="A632" s="7" t="n"/>
      <c r="B632" s="27" t="n"/>
      <c r="C632" s="28" t="n"/>
      <c r="D632" s="28" t="n"/>
      <c r="E632" s="28" t="n"/>
      <c r="F632" s="28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50">
      <c r="A633" s="7" t="n"/>
      <c r="B633" s="27" t="n"/>
      <c r="C633" s="28" t="n"/>
      <c r="D633" s="28" t="n"/>
      <c r="E633" s="28" t="n"/>
      <c r="F633" s="28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50">
      <c r="A634" s="7" t="n"/>
      <c r="B634" s="27" t="n"/>
      <c r="C634" s="28" t="n"/>
      <c r="D634" s="28" t="n"/>
      <c r="E634" s="28" t="n"/>
      <c r="F634" s="28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50">
      <c r="A635" s="7" t="n"/>
      <c r="B635" s="27" t="n"/>
      <c r="C635" s="28" t="n"/>
      <c r="D635" s="28" t="n"/>
      <c r="E635" s="28" t="n"/>
      <c r="F635" s="28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50">
      <c r="A636" s="7" t="n"/>
      <c r="B636" s="27" t="n"/>
      <c r="C636" s="28" t="n"/>
      <c r="D636" s="28" t="n"/>
      <c r="E636" s="28" t="n"/>
      <c r="F636" s="28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50">
      <c r="A637" s="7" t="n"/>
      <c r="B637" s="27" t="n"/>
      <c r="C637" s="28" t="n"/>
      <c r="D637" s="28" t="n"/>
      <c r="E637" s="28" t="n"/>
      <c r="F637" s="28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50">
      <c r="A638" s="7" t="n"/>
      <c r="B638" s="27" t="n"/>
      <c r="C638" s="28" t="n"/>
      <c r="D638" s="28" t="n"/>
      <c r="E638" s="28" t="n"/>
      <c r="F638" s="28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50">
      <c r="A639" s="7" t="n"/>
      <c r="B639" s="27" t="n"/>
      <c r="C639" s="28" t="n"/>
      <c r="D639" s="28" t="n"/>
      <c r="E639" s="28" t="n"/>
      <c r="F639" s="28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50">
      <c r="A640" s="7" t="n"/>
      <c r="B640" s="27" t="n"/>
      <c r="C640" s="28" t="n"/>
      <c r="D640" s="28" t="n"/>
      <c r="E640" s="28" t="n"/>
      <c r="F640" s="28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50">
      <c r="A641" s="7" t="n"/>
      <c r="B641" s="27" t="n"/>
      <c r="C641" s="28" t="n"/>
      <c r="D641" s="28" t="n"/>
      <c r="E641" s="28" t="n"/>
      <c r="F641" s="28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50">
      <c r="A642" s="7" t="n"/>
      <c r="B642" s="27" t="n"/>
      <c r="C642" s="28" t="n"/>
      <c r="D642" s="28" t="n"/>
      <c r="E642" s="28" t="n"/>
      <c r="F642" s="28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50">
      <c r="A643" s="7" t="n"/>
      <c r="B643" s="27" t="n"/>
      <c r="C643" s="28" t="n"/>
      <c r="D643" s="28" t="n"/>
      <c r="E643" s="28" t="n"/>
      <c r="F643" s="28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50">
      <c r="A644" s="7" t="n"/>
      <c r="B644" s="27" t="n"/>
      <c r="C644" s="28" t="n"/>
      <c r="D644" s="28" t="n"/>
      <c r="E644" s="28" t="n"/>
      <c r="F644" s="28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50">
      <c r="A645" s="7" t="n"/>
      <c r="B645" s="27" t="n"/>
      <c r="C645" s="28" t="n"/>
      <c r="D645" s="28" t="n"/>
      <c r="E645" s="28" t="n"/>
      <c r="F645" s="28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50">
      <c r="A646" s="7" t="n"/>
      <c r="B646" s="27" t="n"/>
      <c r="C646" s="28" t="n"/>
      <c r="D646" s="28" t="n"/>
      <c r="E646" s="28" t="n"/>
      <c r="F646" s="28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50">
      <c r="A647" s="7" t="n"/>
      <c r="B647" s="27" t="n"/>
      <c r="C647" s="28" t="n"/>
      <c r="D647" s="28" t="n"/>
      <c r="E647" s="28" t="n"/>
      <c r="F647" s="28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50">
      <c r="A648" s="7" t="n"/>
      <c r="B648" s="27" t="n"/>
      <c r="C648" s="28" t="n"/>
      <c r="D648" s="28" t="n"/>
      <c r="E648" s="28" t="n"/>
      <c r="F648" s="28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50">
      <c r="A649" s="7" t="n"/>
      <c r="B649" s="27" t="n"/>
      <c r="C649" s="28" t="n"/>
      <c r="D649" s="28" t="n"/>
      <c r="E649" s="28" t="n"/>
      <c r="F649" s="28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50">
      <c r="A650" s="7" t="n"/>
      <c r="B650" s="27" t="n"/>
      <c r="C650" s="28" t="n"/>
      <c r="D650" s="28" t="n"/>
      <c r="E650" s="28" t="n"/>
      <c r="F650" s="28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50">
      <c r="A651" s="7" t="n"/>
      <c r="B651" s="27" t="n"/>
      <c r="C651" s="28" t="n"/>
      <c r="D651" s="28" t="n"/>
      <c r="E651" s="28" t="n"/>
      <c r="F651" s="28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50">
      <c r="A652" s="7" t="n"/>
      <c r="B652" s="27" t="n"/>
      <c r="C652" s="28" t="n"/>
      <c r="D652" s="28" t="n"/>
      <c r="E652" s="28" t="n"/>
      <c r="F652" s="28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50">
      <c r="A653" s="7" t="n"/>
      <c r="B653" s="27" t="n"/>
      <c r="C653" s="28" t="n"/>
      <c r="D653" s="28" t="n"/>
      <c r="E653" s="28" t="n"/>
      <c r="F653" s="28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50">
      <c r="A654" s="7" t="n"/>
      <c r="B654" s="27" t="n"/>
      <c r="C654" s="28" t="n"/>
      <c r="D654" s="28" t="n"/>
      <c r="E654" s="28" t="n"/>
      <c r="F654" s="28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50">
      <c r="A655" s="7" t="n"/>
      <c r="B655" s="27" t="n"/>
      <c r="C655" s="28" t="n"/>
      <c r="D655" s="28" t="n"/>
      <c r="E655" s="28" t="n"/>
      <c r="F655" s="28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50">
      <c r="A656" s="7" t="n"/>
      <c r="B656" s="27" t="n"/>
      <c r="C656" s="28" t="n"/>
      <c r="D656" s="28" t="n"/>
      <c r="E656" s="28" t="n"/>
      <c r="F656" s="28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50">
      <c r="A657" s="7" t="n"/>
      <c r="B657" s="27" t="n"/>
      <c r="C657" s="28" t="n"/>
      <c r="D657" s="28" t="n"/>
      <c r="E657" s="28" t="n"/>
      <c r="F657" s="28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50">
      <c r="A658" s="7" t="n"/>
      <c r="B658" s="27" t="n"/>
      <c r="C658" s="28" t="n"/>
      <c r="D658" s="28" t="n"/>
      <c r="E658" s="28" t="n"/>
      <c r="F658" s="28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50">
      <c r="A659" s="7" t="n"/>
      <c r="B659" s="27" t="n"/>
      <c r="C659" s="28" t="n"/>
      <c r="D659" s="28" t="n"/>
      <c r="E659" s="28" t="n"/>
      <c r="F659" s="28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50">
      <c r="A660" s="7" t="n"/>
      <c r="B660" s="27" t="n"/>
      <c r="C660" s="28" t="n"/>
      <c r="D660" s="28" t="n"/>
      <c r="E660" s="28" t="n"/>
      <c r="F660" s="28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50">
      <c r="A661" s="7" t="n"/>
      <c r="B661" s="27" t="n"/>
      <c r="C661" s="28" t="n"/>
      <c r="D661" s="28" t="n"/>
      <c r="E661" s="28" t="n"/>
      <c r="F661" s="28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50">
      <c r="A662" s="7" t="n"/>
      <c r="B662" s="27" t="n"/>
      <c r="C662" s="28" t="n"/>
      <c r="D662" s="28" t="n"/>
      <c r="E662" s="28" t="n"/>
      <c r="F662" s="28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50">
      <c r="A663" s="7" t="n"/>
      <c r="B663" s="27" t="n"/>
      <c r="C663" s="28" t="n"/>
      <c r="D663" s="28" t="n"/>
      <c r="E663" s="28" t="n"/>
      <c r="F663" s="28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50">
      <c r="A664" s="7" t="n"/>
      <c r="B664" s="27" t="n"/>
      <c r="C664" s="28" t="n"/>
      <c r="D664" s="28" t="n"/>
      <c r="E664" s="28" t="n"/>
      <c r="F664" s="28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50">
      <c r="A665" s="7" t="n"/>
      <c r="B665" s="27" t="n"/>
      <c r="C665" s="28" t="n"/>
      <c r="D665" s="28" t="n"/>
      <c r="E665" s="28" t="n"/>
      <c r="F665" s="28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50">
      <c r="A666" s="7" t="n"/>
      <c r="B666" s="27" t="n"/>
      <c r="C666" s="28" t="n"/>
      <c r="D666" s="28" t="n"/>
      <c r="E666" s="28" t="n"/>
      <c r="F666" s="28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50">
      <c r="A667" s="7" t="n"/>
      <c r="B667" s="27" t="n"/>
      <c r="C667" s="28" t="n"/>
      <c r="D667" s="28" t="n"/>
      <c r="E667" s="28" t="n"/>
      <c r="F667" s="28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50">
      <c r="A668" s="7" t="n"/>
      <c r="B668" s="27" t="n"/>
      <c r="C668" s="28" t="n"/>
      <c r="D668" s="28" t="n"/>
      <c r="E668" s="28" t="n"/>
      <c r="F668" s="28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50">
      <c r="A669" s="7" t="n"/>
      <c r="B669" s="27" t="n"/>
      <c r="C669" s="28" t="n"/>
      <c r="D669" s="28" t="n"/>
      <c r="E669" s="28" t="n"/>
      <c r="F669" s="28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50">
      <c r="A670" s="7" t="n"/>
      <c r="B670" s="27" t="n"/>
      <c r="C670" s="28" t="n"/>
      <c r="D670" s="28" t="n"/>
      <c r="E670" s="28" t="n"/>
      <c r="F670" s="28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50">
      <c r="A671" s="7" t="n"/>
      <c r="B671" s="27" t="n"/>
      <c r="C671" s="28" t="n"/>
      <c r="D671" s="28" t="n"/>
      <c r="E671" s="28" t="n"/>
      <c r="F671" s="28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50">
      <c r="A672" s="7" t="n"/>
      <c r="B672" s="27" t="n"/>
      <c r="C672" s="28" t="n"/>
      <c r="D672" s="28" t="n"/>
      <c r="E672" s="28" t="n"/>
      <c r="F672" s="28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50">
      <c r="A673" s="7" t="n"/>
      <c r="B673" s="27" t="n"/>
      <c r="C673" s="28" t="n"/>
      <c r="D673" s="28" t="n"/>
      <c r="E673" s="28" t="n"/>
      <c r="F673" s="28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50">
      <c r="A674" s="7" t="n"/>
      <c r="B674" s="27" t="n"/>
      <c r="C674" s="28" t="n"/>
      <c r="D674" s="28" t="n"/>
      <c r="E674" s="28" t="n"/>
      <c r="F674" s="28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50">
      <c r="A675" s="7" t="n"/>
      <c r="B675" s="27" t="n"/>
      <c r="C675" s="28" t="n"/>
      <c r="D675" s="28" t="n"/>
      <c r="E675" s="28" t="n"/>
      <c r="F675" s="28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50">
      <c r="A676" s="7" t="n"/>
      <c r="B676" s="27" t="n"/>
      <c r="C676" s="28" t="n"/>
      <c r="D676" s="28" t="n"/>
      <c r="E676" s="28" t="n"/>
      <c r="F676" s="28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50">
      <c r="A677" s="7" t="n"/>
      <c r="B677" s="27" t="n"/>
      <c r="C677" s="28" t="n"/>
      <c r="D677" s="28" t="n"/>
      <c r="E677" s="28" t="n"/>
      <c r="F677" s="28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50">
      <c r="A678" s="7" t="n"/>
      <c r="B678" s="27" t="n"/>
      <c r="C678" s="28" t="n"/>
      <c r="D678" s="28" t="n"/>
      <c r="E678" s="28" t="n"/>
      <c r="F678" s="28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50">
      <c r="A679" s="7" t="n"/>
      <c r="B679" s="27" t="n"/>
      <c r="C679" s="28" t="n"/>
      <c r="D679" s="28" t="n"/>
      <c r="E679" s="28" t="n"/>
      <c r="F679" s="28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50">
      <c r="A680" s="7" t="n"/>
      <c r="B680" s="27" t="n"/>
      <c r="C680" s="28" t="n"/>
      <c r="D680" s="28" t="n"/>
      <c r="E680" s="28" t="n"/>
      <c r="F680" s="28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50">
      <c r="A681" s="7" t="n"/>
      <c r="B681" s="27" t="n"/>
      <c r="C681" s="28" t="n"/>
      <c r="D681" s="28" t="n"/>
      <c r="E681" s="28" t="n"/>
      <c r="F681" s="28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50">
      <c r="A682" s="7" t="n"/>
      <c r="B682" s="27" t="n"/>
      <c r="C682" s="28" t="n"/>
      <c r="D682" s="28" t="n"/>
      <c r="E682" s="28" t="n"/>
      <c r="F682" s="28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50">
      <c r="A683" s="7" t="n"/>
      <c r="B683" s="27" t="n"/>
      <c r="C683" s="28" t="n"/>
      <c r="D683" s="28" t="n"/>
      <c r="E683" s="28" t="n"/>
      <c r="F683" s="28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50">
      <c r="A684" s="7" t="n"/>
      <c r="B684" s="27" t="n"/>
      <c r="C684" s="28" t="n"/>
      <c r="D684" s="28" t="n"/>
      <c r="E684" s="28" t="n"/>
      <c r="F684" s="28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50">
      <c r="A685" s="7" t="n"/>
      <c r="B685" s="27" t="n"/>
      <c r="C685" s="28" t="n"/>
      <c r="D685" s="28" t="n"/>
      <c r="E685" s="28" t="n"/>
      <c r="F685" s="28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50">
      <c r="A686" s="7" t="n"/>
      <c r="B686" s="27" t="n"/>
      <c r="C686" s="28" t="n"/>
      <c r="D686" s="28" t="n"/>
      <c r="E686" s="28" t="n"/>
      <c r="F686" s="28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50">
      <c r="A687" s="7" t="n"/>
      <c r="B687" s="27" t="n"/>
      <c r="C687" s="28" t="n"/>
      <c r="D687" s="28" t="n"/>
      <c r="E687" s="28" t="n"/>
      <c r="F687" s="28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50">
      <c r="A688" s="7" t="n"/>
      <c r="B688" s="27" t="n"/>
      <c r="C688" s="28" t="n"/>
      <c r="D688" s="28" t="n"/>
      <c r="E688" s="28" t="n"/>
      <c r="F688" s="28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50">
      <c r="A689" s="7" t="n"/>
      <c r="B689" s="27" t="n"/>
      <c r="C689" s="28" t="n"/>
      <c r="D689" s="28" t="n"/>
      <c r="E689" s="28" t="n"/>
      <c r="F689" s="28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50">
      <c r="A690" s="7" t="n"/>
      <c r="B690" s="27" t="n"/>
      <c r="C690" s="28" t="n"/>
      <c r="D690" s="28" t="n"/>
      <c r="E690" s="28" t="n"/>
      <c r="F690" s="28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50">
      <c r="A691" s="7" t="n"/>
      <c r="B691" s="27" t="n"/>
      <c r="C691" s="28" t="n"/>
      <c r="D691" s="28" t="n"/>
      <c r="E691" s="28" t="n"/>
      <c r="F691" s="28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50">
      <c r="A692" s="7" t="n"/>
      <c r="B692" s="27" t="n"/>
      <c r="C692" s="28" t="n"/>
      <c r="D692" s="28" t="n"/>
      <c r="E692" s="28" t="n"/>
      <c r="F692" s="28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50">
      <c r="A693" s="7" t="n"/>
      <c r="B693" s="27" t="n"/>
      <c r="C693" s="28" t="n"/>
      <c r="D693" s="28" t="n"/>
      <c r="E693" s="28" t="n"/>
      <c r="F693" s="28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50">
      <c r="A694" s="7" t="n"/>
      <c r="B694" s="27" t="n"/>
      <c r="C694" s="28" t="n"/>
      <c r="D694" s="28" t="n"/>
      <c r="E694" s="28" t="n"/>
      <c r="F694" s="28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50">
      <c r="A695" s="7" t="n"/>
      <c r="B695" s="27" t="n"/>
      <c r="C695" s="28" t="n"/>
      <c r="D695" s="28" t="n"/>
      <c r="E695" s="28" t="n"/>
      <c r="F695" s="28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50">
      <c r="A696" s="7" t="n"/>
      <c r="B696" s="27" t="n"/>
      <c r="C696" s="28" t="n"/>
      <c r="D696" s="28" t="n"/>
      <c r="E696" s="28" t="n"/>
      <c r="F696" s="28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50">
      <c r="A697" s="7" t="n"/>
      <c r="B697" s="27" t="n"/>
      <c r="C697" s="28" t="n"/>
      <c r="D697" s="28" t="n"/>
      <c r="E697" s="28" t="n"/>
      <c r="F697" s="28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50">
      <c r="A698" s="7" t="n"/>
      <c r="B698" s="27" t="n"/>
      <c r="C698" s="28" t="n"/>
      <c r="D698" s="28" t="n"/>
      <c r="E698" s="28" t="n"/>
      <c r="F698" s="28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50">
      <c r="A699" s="7" t="n"/>
      <c r="B699" s="27" t="n"/>
      <c r="C699" s="28" t="n"/>
      <c r="D699" s="28" t="n"/>
      <c r="E699" s="28" t="n"/>
      <c r="F699" s="28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50">
      <c r="A700" s="7" t="n"/>
      <c r="B700" s="27" t="n"/>
      <c r="C700" s="28" t="n"/>
      <c r="D700" s="28" t="n"/>
      <c r="E700" s="28" t="n"/>
      <c r="F700" s="28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50">
      <c r="A701" s="7" t="n"/>
      <c r="B701" s="27" t="n"/>
      <c r="C701" s="28" t="n"/>
      <c r="D701" s="28" t="n"/>
      <c r="E701" s="28" t="n"/>
      <c r="F701" s="28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50">
      <c r="A702" s="7" t="n"/>
      <c r="B702" s="27" t="n"/>
      <c r="C702" s="28" t="n"/>
      <c r="D702" s="28" t="n"/>
      <c r="E702" s="28" t="n"/>
      <c r="F702" s="28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50">
      <c r="A703" s="7" t="n"/>
      <c r="B703" s="27" t="n"/>
      <c r="C703" s="28" t="n"/>
      <c r="D703" s="28" t="n"/>
      <c r="E703" s="28" t="n"/>
      <c r="F703" s="28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50">
      <c r="A704" s="7" t="n"/>
      <c r="B704" s="27" t="n"/>
      <c r="C704" s="28" t="n"/>
      <c r="D704" s="28" t="n"/>
      <c r="E704" s="28" t="n"/>
      <c r="F704" s="28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50">
      <c r="A705" s="7" t="n"/>
      <c r="B705" s="27" t="n"/>
      <c r="C705" s="28" t="n"/>
      <c r="D705" s="28" t="n"/>
      <c r="E705" s="28" t="n"/>
      <c r="F705" s="28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50">
      <c r="A706" s="7" t="n"/>
      <c r="B706" s="27" t="n"/>
      <c r="C706" s="28" t="n"/>
      <c r="D706" s="28" t="n"/>
      <c r="E706" s="28" t="n"/>
      <c r="F706" s="28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50">
      <c r="A707" s="7" t="n"/>
      <c r="B707" s="27" t="n"/>
      <c r="C707" s="28" t="n"/>
      <c r="D707" s="28" t="n"/>
      <c r="E707" s="28" t="n"/>
      <c r="F707" s="28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50">
      <c r="A708" s="7" t="n"/>
      <c r="B708" s="27" t="n"/>
      <c r="C708" s="28" t="n"/>
      <c r="D708" s="28" t="n"/>
      <c r="E708" s="28" t="n"/>
      <c r="F708" s="28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50">
      <c r="A709" s="7" t="n"/>
      <c r="B709" s="27" t="n"/>
      <c r="C709" s="28" t="n"/>
      <c r="D709" s="28" t="n"/>
      <c r="E709" s="28" t="n"/>
      <c r="F709" s="28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50">
      <c r="A710" s="7" t="n"/>
      <c r="B710" s="27" t="n"/>
      <c r="C710" s="28" t="n"/>
      <c r="D710" s="28" t="n"/>
      <c r="E710" s="28" t="n"/>
      <c r="F710" s="28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50">
      <c r="A711" s="7" t="n"/>
      <c r="B711" s="27" t="n"/>
      <c r="C711" s="28" t="n"/>
      <c r="D711" s="28" t="n"/>
      <c r="E711" s="28" t="n"/>
      <c r="F711" s="28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50">
      <c r="A712" s="7" t="n"/>
      <c r="B712" s="27" t="n"/>
      <c r="C712" s="28" t="n"/>
      <c r="D712" s="28" t="n"/>
      <c r="E712" s="28" t="n"/>
      <c r="F712" s="28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50">
      <c r="A713" s="7" t="n"/>
      <c r="B713" s="27" t="n"/>
      <c r="C713" s="28" t="n"/>
      <c r="D713" s="28" t="n"/>
      <c r="E713" s="28" t="n"/>
      <c r="F713" s="28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50">
      <c r="A714" s="7" t="n"/>
      <c r="B714" s="27" t="n"/>
      <c r="C714" s="28" t="n"/>
      <c r="D714" s="28" t="n"/>
      <c r="E714" s="28" t="n"/>
      <c r="F714" s="28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50">
      <c r="A715" s="7" t="n"/>
      <c r="B715" s="27" t="n"/>
      <c r="C715" s="28" t="n"/>
      <c r="D715" s="28" t="n"/>
      <c r="E715" s="28" t="n"/>
      <c r="F715" s="28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50">
      <c r="A716" s="7" t="n"/>
      <c r="B716" s="27" t="n"/>
      <c r="C716" s="28" t="n"/>
      <c r="D716" s="28" t="n"/>
      <c r="E716" s="28" t="n"/>
      <c r="F716" s="28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50">
      <c r="A717" s="7" t="n"/>
      <c r="B717" s="27" t="n"/>
      <c r="C717" s="28" t="n"/>
      <c r="D717" s="28" t="n"/>
      <c r="E717" s="28" t="n"/>
      <c r="F717" s="28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50">
      <c r="A718" s="7" t="n"/>
      <c r="B718" s="27" t="n"/>
      <c r="C718" s="28" t="n"/>
      <c r="D718" s="28" t="n"/>
      <c r="E718" s="28" t="n"/>
      <c r="F718" s="28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50">
      <c r="A719" s="7" t="n"/>
      <c r="B719" s="27" t="n"/>
      <c r="C719" s="28" t="n"/>
      <c r="D719" s="28" t="n"/>
      <c r="E719" s="28" t="n"/>
      <c r="F719" s="28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50">
      <c r="A720" s="7" t="n"/>
      <c r="B720" s="27" t="n"/>
      <c r="C720" s="28" t="n"/>
      <c r="D720" s="28" t="n"/>
      <c r="E720" s="28" t="n"/>
      <c r="F720" s="28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50">
      <c r="A721" s="7" t="n"/>
      <c r="B721" s="27" t="n"/>
      <c r="C721" s="28" t="n"/>
      <c r="D721" s="28" t="n"/>
      <c r="E721" s="28" t="n"/>
      <c r="F721" s="28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50">
      <c r="A722" s="7" t="n"/>
      <c r="B722" s="27" t="n"/>
      <c r="C722" s="28" t="n"/>
      <c r="D722" s="28" t="n"/>
      <c r="E722" s="28" t="n"/>
      <c r="F722" s="28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50">
      <c r="A723" s="7" t="n"/>
      <c r="B723" s="27" t="n"/>
      <c r="C723" s="28" t="n"/>
      <c r="D723" s="28" t="n"/>
      <c r="E723" s="28" t="n"/>
      <c r="F723" s="28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50">
      <c r="A724" s="7" t="n"/>
      <c r="B724" s="27" t="n"/>
      <c r="C724" s="28" t="n"/>
      <c r="D724" s="28" t="n"/>
      <c r="E724" s="28" t="n"/>
      <c r="F724" s="28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50">
      <c r="A725" s="7" t="n"/>
      <c r="B725" s="27" t="n"/>
      <c r="C725" s="28" t="n"/>
      <c r="D725" s="28" t="n"/>
      <c r="E725" s="28" t="n"/>
      <c r="F725" s="28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50">
      <c r="A726" s="7" t="n"/>
      <c r="B726" s="27" t="n"/>
      <c r="C726" s="28" t="n"/>
      <c r="D726" s="28" t="n"/>
      <c r="E726" s="28" t="n"/>
      <c r="F726" s="28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50">
      <c r="A727" s="7" t="n"/>
      <c r="B727" s="27" t="n"/>
      <c r="C727" s="28" t="n"/>
      <c r="D727" s="28" t="n"/>
      <c r="E727" s="28" t="n"/>
      <c r="F727" s="28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50">
      <c r="A728" s="7" t="n"/>
      <c r="B728" s="27" t="n"/>
      <c r="C728" s="28" t="n"/>
      <c r="D728" s="28" t="n"/>
      <c r="E728" s="28" t="n"/>
      <c r="F728" s="28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50">
      <c r="A729" s="7" t="n"/>
      <c r="B729" s="27" t="n"/>
      <c r="C729" s="28" t="n"/>
      <c r="D729" s="28" t="n"/>
      <c r="E729" s="28" t="n"/>
      <c r="F729" s="28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50">
      <c r="A730" s="7" t="n"/>
      <c r="B730" s="27" t="n"/>
      <c r="C730" s="28" t="n"/>
      <c r="D730" s="28" t="n"/>
      <c r="E730" s="28" t="n"/>
      <c r="F730" s="28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50">
      <c r="A731" s="7" t="n"/>
      <c r="B731" s="27" t="n"/>
      <c r="C731" s="28" t="n"/>
      <c r="D731" s="28" t="n"/>
      <c r="E731" s="28" t="n"/>
      <c r="F731" s="28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50">
      <c r="A732" s="7" t="n"/>
      <c r="B732" s="27" t="n"/>
      <c r="C732" s="28" t="n"/>
      <c r="D732" s="28" t="n"/>
      <c r="E732" s="28" t="n"/>
      <c r="F732" s="28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50">
      <c r="A733" s="7" t="n"/>
      <c r="B733" s="27" t="n"/>
      <c r="C733" s="28" t="n"/>
      <c r="D733" s="28" t="n"/>
      <c r="E733" s="28" t="n"/>
      <c r="F733" s="28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50">
      <c r="A734" s="7" t="n"/>
      <c r="B734" s="27" t="n"/>
      <c r="C734" s="28" t="n"/>
      <c r="D734" s="28" t="n"/>
      <c r="E734" s="28" t="n"/>
      <c r="F734" s="28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50">
      <c r="A735" s="7" t="n"/>
      <c r="B735" s="27" t="n"/>
      <c r="C735" s="28" t="n"/>
      <c r="D735" s="28" t="n"/>
      <c r="E735" s="28" t="n"/>
      <c r="F735" s="28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50">
      <c r="A736" s="7" t="n"/>
      <c r="B736" s="27" t="n"/>
      <c r="C736" s="28" t="n"/>
      <c r="D736" s="28" t="n"/>
      <c r="E736" s="28" t="n"/>
      <c r="F736" s="28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50">
      <c r="A737" s="7" t="n"/>
      <c r="B737" s="27" t="n"/>
      <c r="C737" s="28" t="n"/>
      <c r="D737" s="28" t="n"/>
      <c r="E737" s="28" t="n"/>
      <c r="F737" s="28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50">
      <c r="A738" s="7" t="n"/>
      <c r="B738" s="27" t="n"/>
      <c r="C738" s="28" t="n"/>
      <c r="D738" s="28" t="n"/>
      <c r="E738" s="28" t="n"/>
      <c r="F738" s="28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50">
      <c r="A739" s="7" t="n"/>
      <c r="B739" s="27" t="n"/>
      <c r="C739" s="28" t="n"/>
      <c r="D739" s="28" t="n"/>
      <c r="E739" s="28" t="n"/>
      <c r="F739" s="28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50">
      <c r="A740" s="7" t="n"/>
      <c r="B740" s="27" t="n"/>
      <c r="C740" s="28" t="n"/>
      <c r="D740" s="28" t="n"/>
      <c r="E740" s="28" t="n"/>
      <c r="F740" s="28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50">
      <c r="A741" s="7" t="n"/>
      <c r="B741" s="27" t="n"/>
      <c r="C741" s="28" t="n"/>
      <c r="D741" s="28" t="n"/>
      <c r="E741" s="28" t="n"/>
      <c r="F741" s="28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50">
      <c r="A742" s="7" t="n"/>
      <c r="B742" s="27" t="n"/>
      <c r="C742" s="28" t="n"/>
      <c r="D742" s="28" t="n"/>
      <c r="E742" s="28" t="n"/>
      <c r="F742" s="28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50">
      <c r="A743" s="7" t="n"/>
      <c r="B743" s="27" t="n"/>
      <c r="C743" s="28" t="n"/>
      <c r="D743" s="28" t="n"/>
      <c r="E743" s="28" t="n"/>
      <c r="F743" s="28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50">
      <c r="A744" s="7" t="n"/>
      <c r="B744" s="27" t="n"/>
      <c r="C744" s="28" t="n"/>
      <c r="D744" s="28" t="n"/>
      <c r="E744" s="28" t="n"/>
      <c r="F744" s="28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50">
      <c r="A745" s="7" t="n"/>
      <c r="B745" s="27" t="n"/>
      <c r="C745" s="28" t="n"/>
      <c r="D745" s="28" t="n"/>
      <c r="E745" s="28" t="n"/>
      <c r="F745" s="28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50">
      <c r="A746" s="7" t="n"/>
      <c r="B746" s="27" t="n"/>
      <c r="C746" s="28" t="n"/>
      <c r="D746" s="28" t="n"/>
      <c r="E746" s="28" t="n"/>
      <c r="F746" s="28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50">
      <c r="A747" s="7" t="n"/>
      <c r="B747" s="27" t="n"/>
      <c r="C747" s="28" t="n"/>
      <c r="D747" s="28" t="n"/>
      <c r="E747" s="28" t="n"/>
      <c r="F747" s="28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50">
      <c r="A748" s="7" t="n"/>
      <c r="B748" s="27" t="n"/>
      <c r="C748" s="28" t="n"/>
      <c r="D748" s="28" t="n"/>
      <c r="E748" s="28" t="n"/>
      <c r="F748" s="28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50">
      <c r="A749" s="7" t="n"/>
      <c r="B749" s="27" t="n"/>
      <c r="C749" s="28" t="n"/>
      <c r="D749" s="28" t="n"/>
      <c r="E749" s="28" t="n"/>
      <c r="F749" s="28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50">
      <c r="A750" s="7" t="n"/>
      <c r="B750" s="27" t="n"/>
      <c r="C750" s="28" t="n"/>
      <c r="D750" s="28" t="n"/>
      <c r="E750" s="28" t="n"/>
      <c r="F750" s="28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50">
      <c r="A751" s="7" t="n"/>
      <c r="B751" s="27" t="n"/>
      <c r="C751" s="28" t="n"/>
      <c r="D751" s="28" t="n"/>
      <c r="E751" s="28" t="n"/>
      <c r="F751" s="28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50">
      <c r="A752" s="7" t="n"/>
      <c r="B752" s="27" t="n"/>
      <c r="C752" s="28" t="n"/>
      <c r="D752" s="28" t="n"/>
      <c r="E752" s="28" t="n"/>
      <c r="F752" s="28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50">
      <c r="A753" s="7" t="n"/>
      <c r="B753" s="27" t="n"/>
      <c r="C753" s="28" t="n"/>
      <c r="D753" s="28" t="n"/>
      <c r="E753" s="28" t="n"/>
      <c r="F753" s="28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50">
      <c r="A754" s="7" t="n"/>
      <c r="B754" s="27" t="n"/>
      <c r="C754" s="28" t="n"/>
      <c r="D754" s="28" t="n"/>
      <c r="E754" s="28" t="n"/>
      <c r="F754" s="28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50">
      <c r="A755" s="7" t="n"/>
      <c r="B755" s="27" t="n"/>
      <c r="C755" s="28" t="n"/>
      <c r="D755" s="28" t="n"/>
      <c r="E755" s="28" t="n"/>
      <c r="F755" s="28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50">
      <c r="A756" s="7" t="n"/>
      <c r="B756" s="27" t="n"/>
      <c r="C756" s="28" t="n"/>
      <c r="D756" s="28" t="n"/>
      <c r="E756" s="28" t="n"/>
      <c r="F756" s="28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50">
      <c r="A757" s="7" t="n"/>
      <c r="B757" s="27" t="n"/>
      <c r="C757" s="28" t="n"/>
      <c r="D757" s="28" t="n"/>
      <c r="E757" s="28" t="n"/>
      <c r="F757" s="28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50">
      <c r="A758" s="7" t="n"/>
      <c r="B758" s="27" t="n"/>
      <c r="C758" s="28" t="n"/>
      <c r="D758" s="28" t="n"/>
      <c r="E758" s="28" t="n"/>
      <c r="F758" s="28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50">
      <c r="A759" s="7" t="n"/>
      <c r="B759" s="27" t="n"/>
      <c r="C759" s="28" t="n"/>
      <c r="D759" s="28" t="n"/>
      <c r="E759" s="28" t="n"/>
      <c r="F759" s="28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50">
      <c r="A760" s="7" t="n"/>
      <c r="B760" s="27" t="n"/>
      <c r="C760" s="28" t="n"/>
      <c r="D760" s="28" t="n"/>
      <c r="E760" s="28" t="n"/>
      <c r="F760" s="28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50">
      <c r="A761" s="7" t="n"/>
      <c r="B761" s="27" t="n"/>
      <c r="C761" s="28" t="n"/>
      <c r="D761" s="28" t="n"/>
      <c r="E761" s="28" t="n"/>
      <c r="F761" s="28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50">
      <c r="A762" s="7" t="n"/>
      <c r="B762" s="27" t="n"/>
      <c r="C762" s="28" t="n"/>
      <c r="D762" s="28" t="n"/>
      <c r="E762" s="28" t="n"/>
      <c r="F762" s="28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50">
      <c r="A763" s="7" t="n"/>
      <c r="B763" s="27" t="n"/>
      <c r="C763" s="28" t="n"/>
      <c r="D763" s="28" t="n"/>
      <c r="E763" s="28" t="n"/>
      <c r="F763" s="28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50">
      <c r="A764" s="7" t="n"/>
      <c r="B764" s="27" t="n"/>
      <c r="C764" s="28" t="n"/>
      <c r="D764" s="28" t="n"/>
      <c r="E764" s="28" t="n"/>
      <c r="F764" s="28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50">
      <c r="A765" s="7" t="n"/>
      <c r="B765" s="27" t="n"/>
      <c r="C765" s="28" t="n"/>
      <c r="D765" s="28" t="n"/>
      <c r="E765" s="28" t="n"/>
      <c r="F765" s="28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50">
      <c r="A766" s="7" t="n"/>
      <c r="B766" s="27" t="n"/>
      <c r="C766" s="28" t="n"/>
      <c r="D766" s="28" t="n"/>
      <c r="E766" s="28" t="n"/>
      <c r="F766" s="28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50">
      <c r="A767" s="7" t="n"/>
      <c r="B767" s="27" t="n"/>
      <c r="C767" s="28" t="n"/>
      <c r="D767" s="28" t="n"/>
      <c r="E767" s="28" t="n"/>
      <c r="F767" s="28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50">
      <c r="A768" s="7" t="n"/>
      <c r="B768" s="27" t="n"/>
      <c r="C768" s="28" t="n"/>
      <c r="D768" s="28" t="n"/>
      <c r="E768" s="28" t="n"/>
      <c r="F768" s="28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50">
      <c r="A769" s="7" t="n"/>
      <c r="B769" s="27" t="n"/>
      <c r="C769" s="28" t="n"/>
      <c r="D769" s="28" t="n"/>
      <c r="E769" s="28" t="n"/>
      <c r="F769" s="28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50">
      <c r="A770" s="7" t="n"/>
      <c r="B770" s="27" t="n"/>
      <c r="C770" s="28" t="n"/>
      <c r="D770" s="28" t="n"/>
      <c r="E770" s="28" t="n"/>
      <c r="F770" s="28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50">
      <c r="A771" s="7" t="n"/>
      <c r="B771" s="27" t="n"/>
      <c r="C771" s="28" t="n"/>
      <c r="D771" s="28" t="n"/>
      <c r="E771" s="28" t="n"/>
      <c r="F771" s="28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50">
      <c r="A772" s="7" t="n"/>
      <c r="B772" s="27" t="n"/>
      <c r="C772" s="28" t="n"/>
      <c r="D772" s="28" t="n"/>
      <c r="E772" s="28" t="n"/>
      <c r="F772" s="28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50">
      <c r="A773" s="7" t="n"/>
      <c r="B773" s="27" t="n"/>
      <c r="C773" s="28" t="n"/>
      <c r="D773" s="28" t="n"/>
      <c r="E773" s="28" t="n"/>
      <c r="F773" s="28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50">
      <c r="A774" s="7" t="n"/>
      <c r="B774" s="27" t="n"/>
      <c r="C774" s="28" t="n"/>
      <c r="D774" s="28" t="n"/>
      <c r="E774" s="28" t="n"/>
      <c r="F774" s="28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50">
      <c r="A775" s="7" t="n"/>
      <c r="B775" s="27" t="n"/>
      <c r="C775" s="28" t="n"/>
      <c r="D775" s="28" t="n"/>
      <c r="E775" s="28" t="n"/>
      <c r="F775" s="28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50">
      <c r="A776" s="7" t="n"/>
      <c r="B776" s="27" t="n"/>
      <c r="C776" s="28" t="n"/>
      <c r="D776" s="28" t="n"/>
      <c r="E776" s="28" t="n"/>
      <c r="F776" s="28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50">
      <c r="A777" s="7" t="n"/>
      <c r="B777" s="27" t="n"/>
      <c r="C777" s="28" t="n"/>
      <c r="D777" s="28" t="n"/>
      <c r="E777" s="28" t="n"/>
      <c r="F777" s="28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50">
      <c r="A778" s="7" t="n"/>
      <c r="B778" s="27" t="n"/>
      <c r="C778" s="28" t="n"/>
      <c r="D778" s="28" t="n"/>
      <c r="E778" s="28" t="n"/>
      <c r="F778" s="28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50">
      <c r="A779" s="7" t="n"/>
      <c r="B779" s="27" t="n"/>
      <c r="C779" s="28" t="n"/>
      <c r="D779" s="28" t="n"/>
      <c r="E779" s="28" t="n"/>
      <c r="F779" s="28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50">
      <c r="A780" s="7" t="n"/>
      <c r="B780" s="27" t="n"/>
      <c r="C780" s="28" t="n"/>
      <c r="D780" s="28" t="n"/>
      <c r="E780" s="28" t="n"/>
      <c r="F780" s="28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50">
      <c r="A781" s="7" t="n"/>
      <c r="B781" s="27" t="n"/>
      <c r="C781" s="28" t="n"/>
      <c r="D781" s="28" t="n"/>
      <c r="E781" s="28" t="n"/>
      <c r="F781" s="28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50">
      <c r="A782" s="7" t="n"/>
      <c r="B782" s="27" t="n"/>
      <c r="C782" s="28" t="n"/>
      <c r="D782" s="28" t="n"/>
      <c r="E782" s="28" t="n"/>
      <c r="F782" s="28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50">
      <c r="A783" s="7" t="n"/>
      <c r="B783" s="27" t="n"/>
      <c r="C783" s="28" t="n"/>
      <c r="D783" s="28" t="n"/>
      <c r="E783" s="28" t="n"/>
      <c r="F783" s="28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50">
      <c r="A784" s="7" t="n"/>
      <c r="B784" s="27" t="n"/>
      <c r="C784" s="28" t="n"/>
      <c r="D784" s="28" t="n"/>
      <c r="E784" s="28" t="n"/>
      <c r="F784" s="28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50">
      <c r="A785" s="7" t="n"/>
      <c r="B785" s="27" t="n"/>
      <c r="C785" s="28" t="n"/>
      <c r="D785" s="28" t="n"/>
      <c r="E785" s="28" t="n"/>
      <c r="F785" s="28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50">
      <c r="A786" s="7" t="n"/>
      <c r="B786" s="27" t="n"/>
      <c r="C786" s="28" t="n"/>
      <c r="D786" s="28" t="n"/>
      <c r="E786" s="28" t="n"/>
      <c r="F786" s="28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50">
      <c r="A787" s="7" t="n"/>
      <c r="B787" s="27" t="n"/>
      <c r="C787" s="28" t="n"/>
      <c r="D787" s="28" t="n"/>
      <c r="E787" s="28" t="n"/>
      <c r="F787" s="28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50">
      <c r="A788" s="7" t="n"/>
      <c r="B788" s="27" t="n"/>
      <c r="C788" s="28" t="n"/>
      <c r="D788" s="28" t="n"/>
      <c r="E788" s="28" t="n"/>
      <c r="F788" s="28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50">
      <c r="A789" s="7" t="n"/>
      <c r="B789" s="27" t="n"/>
      <c r="C789" s="28" t="n"/>
      <c r="D789" s="28" t="n"/>
      <c r="E789" s="28" t="n"/>
      <c r="F789" s="28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50">
      <c r="A790" s="7" t="n"/>
      <c r="B790" s="27" t="n"/>
      <c r="C790" s="28" t="n"/>
      <c r="D790" s="28" t="n"/>
      <c r="E790" s="28" t="n"/>
      <c r="F790" s="28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50">
      <c r="A791" s="7" t="n"/>
      <c r="B791" s="27" t="n"/>
      <c r="C791" s="28" t="n"/>
      <c r="D791" s="28" t="n"/>
      <c r="E791" s="28" t="n"/>
      <c r="F791" s="28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50">
      <c r="A792" s="7" t="n"/>
      <c r="B792" s="27" t="n"/>
      <c r="C792" s="28" t="n"/>
      <c r="D792" s="28" t="n"/>
      <c r="E792" s="28" t="n"/>
      <c r="F792" s="28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50">
      <c r="A793" s="7" t="n"/>
      <c r="B793" s="27" t="n"/>
      <c r="C793" s="28" t="n"/>
      <c r="D793" s="28" t="n"/>
      <c r="E793" s="28" t="n"/>
      <c r="F793" s="28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50">
      <c r="A794" s="7" t="n"/>
      <c r="B794" s="27" t="n"/>
      <c r="C794" s="28" t="n"/>
      <c r="D794" s="28" t="n"/>
      <c r="E794" s="28" t="n"/>
      <c r="F794" s="28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50">
      <c r="A795" s="7" t="n"/>
      <c r="B795" s="27" t="n"/>
      <c r="C795" s="28" t="n"/>
      <c r="D795" s="28" t="n"/>
      <c r="E795" s="28" t="n"/>
      <c r="F795" s="28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50">
      <c r="A796" s="7" t="n"/>
      <c r="B796" s="27" t="n"/>
      <c r="C796" s="28" t="n"/>
      <c r="D796" s="28" t="n"/>
      <c r="E796" s="28" t="n"/>
      <c r="F796" s="28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50">
      <c r="A797" s="7" t="n"/>
      <c r="B797" s="27" t="n"/>
      <c r="C797" s="28" t="n"/>
      <c r="D797" s="28" t="n"/>
      <c r="E797" s="28" t="n"/>
      <c r="F797" s="28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50">
      <c r="A798" s="7" t="n"/>
      <c r="B798" s="27" t="n"/>
      <c r="C798" s="28" t="n"/>
      <c r="D798" s="28" t="n"/>
      <c r="E798" s="28" t="n"/>
      <c r="F798" s="28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50">
      <c r="A799" s="7" t="n"/>
      <c r="B799" s="27" t="n"/>
      <c r="C799" s="28" t="n"/>
      <c r="D799" s="28" t="n"/>
      <c r="E799" s="28" t="n"/>
      <c r="F799" s="28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50">
      <c r="A800" s="7" t="n"/>
      <c r="B800" s="27" t="n"/>
      <c r="C800" s="28" t="n"/>
      <c r="D800" s="28" t="n"/>
      <c r="E800" s="28" t="n"/>
      <c r="F800" s="28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50">
      <c r="A801" s="7" t="n"/>
      <c r="B801" s="27" t="n"/>
      <c r="C801" s="28" t="n"/>
      <c r="D801" s="28" t="n"/>
      <c r="E801" s="28" t="n"/>
      <c r="F801" s="28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50">
      <c r="A802" s="7" t="n"/>
      <c r="B802" s="27" t="n"/>
      <c r="C802" s="28" t="n"/>
      <c r="D802" s="28" t="n"/>
      <c r="E802" s="28" t="n"/>
      <c r="F802" s="28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50">
      <c r="A803" s="7" t="n"/>
      <c r="B803" s="27" t="n"/>
      <c r="C803" s="28" t="n"/>
      <c r="D803" s="28" t="n"/>
      <c r="E803" s="28" t="n"/>
      <c r="F803" s="28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50">
      <c r="A804" s="7" t="n"/>
      <c r="B804" s="27" t="n"/>
      <c r="C804" s="28" t="n"/>
      <c r="D804" s="28" t="n"/>
      <c r="E804" s="28" t="n"/>
      <c r="F804" s="28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50">
      <c r="A805" s="7" t="n"/>
      <c r="B805" s="27" t="n"/>
      <c r="C805" s="28" t="n"/>
      <c r="D805" s="28" t="n"/>
      <c r="E805" s="28" t="n"/>
      <c r="F805" s="28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50">
      <c r="A806" s="7" t="n"/>
      <c r="B806" s="27" t="n"/>
      <c r="C806" s="28" t="n"/>
      <c r="D806" s="28" t="n"/>
      <c r="E806" s="28" t="n"/>
      <c r="F806" s="28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50">
      <c r="A807" s="7" t="n"/>
      <c r="B807" s="27" t="n"/>
      <c r="C807" s="28" t="n"/>
      <c r="D807" s="28" t="n"/>
      <c r="E807" s="28" t="n"/>
      <c r="F807" s="28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50">
      <c r="A808" s="7" t="n"/>
      <c r="B808" s="27" t="n"/>
      <c r="C808" s="28" t="n"/>
      <c r="D808" s="28" t="n"/>
      <c r="E808" s="28" t="n"/>
      <c r="F808" s="28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50">
      <c r="A809" s="7" t="n"/>
      <c r="B809" s="27" t="n"/>
      <c r="C809" s="28" t="n"/>
      <c r="D809" s="28" t="n"/>
      <c r="E809" s="28" t="n"/>
      <c r="F809" s="28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50">
      <c r="A810" s="7" t="n"/>
      <c r="B810" s="27" t="n"/>
      <c r="C810" s="28" t="n"/>
      <c r="D810" s="28" t="n"/>
      <c r="E810" s="28" t="n"/>
      <c r="F810" s="28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50">
      <c r="A811" s="7" t="n"/>
      <c r="B811" s="27" t="n"/>
      <c r="C811" s="28" t="n"/>
      <c r="D811" s="28" t="n"/>
      <c r="E811" s="28" t="n"/>
      <c r="F811" s="28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50">
      <c r="A812" s="7" t="n"/>
      <c r="B812" s="27" t="n"/>
      <c r="C812" s="28" t="n"/>
      <c r="D812" s="28" t="n"/>
      <c r="E812" s="28" t="n"/>
      <c r="F812" s="28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50">
      <c r="A813" s="7" t="n"/>
      <c r="B813" s="27" t="n"/>
      <c r="C813" s="28" t="n"/>
      <c r="D813" s="28" t="n"/>
      <c r="E813" s="28" t="n"/>
      <c r="F813" s="28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50">
      <c r="A814" s="7" t="n"/>
      <c r="B814" s="27" t="n"/>
      <c r="C814" s="28" t="n"/>
      <c r="D814" s="28" t="n"/>
      <c r="E814" s="28" t="n"/>
      <c r="F814" s="28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50">
      <c r="A815" s="7" t="n"/>
      <c r="B815" s="27" t="n"/>
      <c r="C815" s="28" t="n"/>
      <c r="D815" s="28" t="n"/>
      <c r="E815" s="28" t="n"/>
      <c r="F815" s="28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50">
      <c r="A816" s="7" t="n"/>
      <c r="B816" s="27" t="n"/>
      <c r="C816" s="28" t="n"/>
      <c r="D816" s="28" t="n"/>
      <c r="E816" s="28" t="n"/>
      <c r="F816" s="28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50">
      <c r="A817" s="7" t="n"/>
      <c r="B817" s="27" t="n"/>
      <c r="C817" s="28" t="n"/>
      <c r="D817" s="28" t="n"/>
      <c r="E817" s="28" t="n"/>
      <c r="F817" s="28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50">
      <c r="A818" s="7" t="n"/>
      <c r="B818" s="27" t="n"/>
      <c r="C818" s="28" t="n"/>
      <c r="D818" s="28" t="n"/>
      <c r="E818" s="28" t="n"/>
      <c r="F818" s="28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50">
      <c r="A819" s="7" t="n"/>
      <c r="B819" s="27" t="n"/>
      <c r="C819" s="28" t="n"/>
      <c r="D819" s="28" t="n"/>
      <c r="E819" s="28" t="n"/>
      <c r="F819" s="28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50">
      <c r="A820" s="7" t="n"/>
      <c r="B820" s="27" t="n"/>
      <c r="C820" s="28" t="n"/>
      <c r="D820" s="28" t="n"/>
      <c r="E820" s="28" t="n"/>
      <c r="F820" s="28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50">
      <c r="A821" s="7" t="n"/>
      <c r="B821" s="27" t="n"/>
      <c r="C821" s="28" t="n"/>
      <c r="D821" s="28" t="n"/>
      <c r="E821" s="28" t="n"/>
      <c r="F821" s="28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50">
      <c r="A822" s="7" t="n"/>
      <c r="B822" s="27" t="n"/>
      <c r="C822" s="28" t="n"/>
      <c r="D822" s="28" t="n"/>
      <c r="E822" s="28" t="n"/>
      <c r="F822" s="28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50">
      <c r="A823" s="7" t="n"/>
      <c r="B823" s="27" t="n"/>
      <c r="C823" s="28" t="n"/>
      <c r="D823" s="28" t="n"/>
      <c r="E823" s="28" t="n"/>
      <c r="F823" s="28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50">
      <c r="A824" s="7" t="n"/>
      <c r="B824" s="27" t="n"/>
      <c r="C824" s="28" t="n"/>
      <c r="D824" s="28" t="n"/>
      <c r="E824" s="28" t="n"/>
      <c r="F824" s="28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50">
      <c r="A825" s="7" t="n"/>
      <c r="B825" s="27" t="n"/>
      <c r="C825" s="28" t="n"/>
      <c r="D825" s="28" t="n"/>
      <c r="E825" s="28" t="n"/>
      <c r="F825" s="28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50">
      <c r="A826" s="7" t="n"/>
      <c r="B826" s="27" t="n"/>
      <c r="C826" s="28" t="n"/>
      <c r="D826" s="28" t="n"/>
      <c r="E826" s="28" t="n"/>
      <c r="F826" s="28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50">
      <c r="A827" s="7" t="n"/>
      <c r="B827" s="27" t="n"/>
      <c r="C827" s="28" t="n"/>
      <c r="D827" s="28" t="n"/>
      <c r="E827" s="28" t="n"/>
      <c r="F827" s="28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50">
      <c r="A828" s="7" t="n"/>
      <c r="B828" s="27" t="n"/>
      <c r="C828" s="28" t="n"/>
      <c r="D828" s="28" t="n"/>
      <c r="E828" s="28" t="n"/>
      <c r="F828" s="28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50">
      <c r="A829" s="7" t="n"/>
      <c r="B829" s="27" t="n"/>
      <c r="C829" s="28" t="n"/>
      <c r="D829" s="28" t="n"/>
      <c r="E829" s="28" t="n"/>
      <c r="F829" s="28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50">
      <c r="A830" s="7" t="n"/>
      <c r="B830" s="27" t="n"/>
      <c r="C830" s="28" t="n"/>
      <c r="D830" s="28" t="n"/>
      <c r="E830" s="28" t="n"/>
      <c r="F830" s="28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50">
      <c r="A831" s="7" t="n"/>
      <c r="B831" s="27" t="n"/>
      <c r="C831" s="28" t="n"/>
      <c r="D831" s="28" t="n"/>
      <c r="E831" s="28" t="n"/>
      <c r="F831" s="28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50">
      <c r="A832" s="7" t="n"/>
      <c r="B832" s="27" t="n"/>
      <c r="C832" s="28" t="n"/>
      <c r="D832" s="28" t="n"/>
      <c r="E832" s="28" t="n"/>
      <c r="F832" s="28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50">
      <c r="A833" s="7" t="n"/>
      <c r="B833" s="27" t="n"/>
      <c r="C833" s="28" t="n"/>
      <c r="D833" s="28" t="n"/>
      <c r="E833" s="28" t="n"/>
      <c r="F833" s="28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50">
      <c r="A834" s="7" t="n"/>
      <c r="B834" s="27" t="n"/>
      <c r="C834" s="28" t="n"/>
      <c r="D834" s="28" t="n"/>
      <c r="E834" s="28" t="n"/>
      <c r="F834" s="28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50">
      <c r="A835" s="7" t="n"/>
      <c r="B835" s="27" t="n"/>
      <c r="C835" s="28" t="n"/>
      <c r="D835" s="28" t="n"/>
      <c r="E835" s="28" t="n"/>
      <c r="F835" s="28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50">
      <c r="A836" s="7" t="n"/>
      <c r="B836" s="27" t="n"/>
      <c r="C836" s="28" t="n"/>
      <c r="D836" s="28" t="n"/>
      <c r="E836" s="28" t="n"/>
      <c r="F836" s="28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50">
      <c r="A837" s="7" t="n"/>
      <c r="B837" s="27" t="n"/>
      <c r="C837" s="28" t="n"/>
      <c r="D837" s="28" t="n"/>
      <c r="E837" s="28" t="n"/>
      <c r="F837" s="28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50">
      <c r="A838" s="7" t="n"/>
      <c r="B838" s="27" t="n"/>
      <c r="C838" s="28" t="n"/>
      <c r="D838" s="28" t="n"/>
      <c r="E838" s="28" t="n"/>
      <c r="F838" s="28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50">
      <c r="A839" s="7" t="n"/>
      <c r="B839" s="27" t="n"/>
      <c r="C839" s="28" t="n"/>
      <c r="D839" s="28" t="n"/>
      <c r="E839" s="28" t="n"/>
      <c r="F839" s="28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50">
      <c r="A840" s="7" t="n"/>
      <c r="B840" s="27" t="n"/>
      <c r="C840" s="28" t="n"/>
      <c r="D840" s="28" t="n"/>
      <c r="E840" s="28" t="n"/>
      <c r="F840" s="28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50">
      <c r="A841" s="7" t="n"/>
      <c r="B841" s="27" t="n"/>
      <c r="C841" s="28" t="n"/>
      <c r="D841" s="28" t="n"/>
      <c r="E841" s="28" t="n"/>
      <c r="F841" s="28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50">
      <c r="A842" s="7" t="n"/>
      <c r="B842" s="27" t="n"/>
      <c r="C842" s="28" t="n"/>
      <c r="D842" s="28" t="n"/>
      <c r="E842" s="28" t="n"/>
      <c r="F842" s="28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50">
      <c r="A843" s="7" t="n"/>
      <c r="B843" s="27" t="n"/>
      <c r="C843" s="28" t="n"/>
      <c r="D843" s="28" t="n"/>
      <c r="E843" s="28" t="n"/>
      <c r="F843" s="28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50">
      <c r="A844" s="7" t="n"/>
      <c r="B844" s="27" t="n"/>
      <c r="C844" s="28" t="n"/>
      <c r="D844" s="28" t="n"/>
      <c r="E844" s="28" t="n"/>
      <c r="F844" s="28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50">
      <c r="A845" s="7" t="n"/>
      <c r="B845" s="27" t="n"/>
      <c r="C845" s="28" t="n"/>
      <c r="D845" s="28" t="n"/>
      <c r="E845" s="28" t="n"/>
      <c r="F845" s="28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50">
      <c r="A846" s="7" t="n"/>
      <c r="B846" s="27" t="n"/>
      <c r="C846" s="28" t="n"/>
      <c r="D846" s="28" t="n"/>
      <c r="E846" s="28" t="n"/>
      <c r="F846" s="28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50">
      <c r="A847" s="7" t="n"/>
      <c r="B847" s="27" t="n"/>
      <c r="C847" s="28" t="n"/>
      <c r="D847" s="28" t="n"/>
      <c r="E847" s="28" t="n"/>
      <c r="F847" s="28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50">
      <c r="A848" s="7" t="n"/>
      <c r="B848" s="27" t="n"/>
      <c r="C848" s="28" t="n"/>
      <c r="D848" s="28" t="n"/>
      <c r="E848" s="28" t="n"/>
      <c r="F848" s="28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50">
      <c r="A849" s="7" t="n"/>
      <c r="B849" s="27" t="n"/>
      <c r="C849" s="28" t="n"/>
      <c r="D849" s="28" t="n"/>
      <c r="E849" s="28" t="n"/>
      <c r="F849" s="28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50">
      <c r="A850" s="7" t="n"/>
      <c r="B850" s="27" t="n"/>
      <c r="C850" s="28" t="n"/>
      <c r="D850" s="28" t="n"/>
      <c r="E850" s="28" t="n"/>
      <c r="F850" s="28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50">
      <c r="A851" s="7" t="n"/>
      <c r="B851" s="27" t="n"/>
      <c r="C851" s="28" t="n"/>
      <c r="D851" s="28" t="n"/>
      <c r="E851" s="28" t="n"/>
      <c r="F851" s="28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50">
      <c r="A852" s="7" t="n"/>
      <c r="B852" s="27" t="n"/>
      <c r="C852" s="28" t="n"/>
      <c r="D852" s="28" t="n"/>
      <c r="E852" s="28" t="n"/>
      <c r="F852" s="28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50">
      <c r="A853" s="7" t="n"/>
      <c r="B853" s="27" t="n"/>
      <c r="C853" s="28" t="n"/>
      <c r="D853" s="28" t="n"/>
      <c r="E853" s="28" t="n"/>
      <c r="F853" s="28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50">
      <c r="A854" s="7" t="n"/>
      <c r="B854" s="27" t="n"/>
      <c r="C854" s="28" t="n"/>
      <c r="D854" s="28" t="n"/>
      <c r="E854" s="28" t="n"/>
      <c r="F854" s="28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50">
      <c r="A855" s="7" t="n"/>
      <c r="B855" s="27" t="n"/>
      <c r="C855" s="28" t="n"/>
      <c r="D855" s="28" t="n"/>
      <c r="E855" s="28" t="n"/>
      <c r="F855" s="28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50">
      <c r="A856" s="7" t="n"/>
      <c r="B856" s="27" t="n"/>
      <c r="C856" s="28" t="n"/>
      <c r="D856" s="28" t="n"/>
      <c r="E856" s="28" t="n"/>
      <c r="F856" s="28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50">
      <c r="A857" s="7" t="n"/>
      <c r="B857" s="27" t="n"/>
      <c r="C857" s="28" t="n"/>
      <c r="D857" s="28" t="n"/>
      <c r="E857" s="28" t="n"/>
      <c r="F857" s="28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50">
      <c r="A858" s="7" t="n"/>
      <c r="B858" s="27" t="n"/>
      <c r="C858" s="28" t="n"/>
      <c r="D858" s="28" t="n"/>
      <c r="E858" s="28" t="n"/>
      <c r="F858" s="28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50">
      <c r="A859" s="7" t="n"/>
      <c r="B859" s="27" t="n"/>
      <c r="C859" s="28" t="n"/>
      <c r="D859" s="28" t="n"/>
      <c r="E859" s="28" t="n"/>
      <c r="F859" s="28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50">
      <c r="A860" s="7" t="n"/>
      <c r="B860" s="27" t="n"/>
      <c r="C860" s="28" t="n"/>
      <c r="D860" s="28" t="n"/>
      <c r="E860" s="28" t="n"/>
      <c r="F860" s="28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50">
      <c r="A861" s="7" t="n"/>
      <c r="B861" s="27" t="n"/>
      <c r="C861" s="28" t="n"/>
      <c r="D861" s="28" t="n"/>
      <c r="E861" s="28" t="n"/>
      <c r="F861" s="28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50">
      <c r="A862" s="7" t="n"/>
      <c r="B862" s="27" t="n"/>
      <c r="C862" s="28" t="n"/>
      <c r="D862" s="28" t="n"/>
      <c r="E862" s="28" t="n"/>
      <c r="F862" s="28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50">
      <c r="A863" s="7" t="n"/>
      <c r="B863" s="27" t="n"/>
      <c r="C863" s="28" t="n"/>
      <c r="D863" s="28" t="n"/>
      <c r="E863" s="28" t="n"/>
      <c r="F863" s="28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50">
      <c r="A864" s="7" t="n"/>
      <c r="B864" s="27" t="n"/>
      <c r="C864" s="28" t="n"/>
      <c r="D864" s="28" t="n"/>
      <c r="E864" s="28" t="n"/>
      <c r="F864" s="28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50">
      <c r="A865" s="7" t="n"/>
      <c r="B865" s="27" t="n"/>
      <c r="C865" s="28" t="n"/>
      <c r="D865" s="28" t="n"/>
      <c r="E865" s="28" t="n"/>
      <c r="F865" s="28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50">
      <c r="A866" s="7" t="n"/>
      <c r="B866" s="27" t="n"/>
      <c r="C866" s="28" t="n"/>
      <c r="D866" s="28" t="n"/>
      <c r="E866" s="28" t="n"/>
      <c r="F866" s="28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50">
      <c r="A867" s="7" t="n"/>
      <c r="B867" s="27" t="n"/>
      <c r="C867" s="28" t="n"/>
      <c r="D867" s="28" t="n"/>
      <c r="E867" s="28" t="n"/>
      <c r="F867" s="28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50">
      <c r="A868" s="7" t="n"/>
      <c r="B868" s="27" t="n"/>
      <c r="C868" s="28" t="n"/>
      <c r="D868" s="28" t="n"/>
      <c r="E868" s="28" t="n"/>
      <c r="F868" s="28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50">
      <c r="A869" s="7" t="n"/>
      <c r="B869" s="27" t="n"/>
      <c r="C869" s="28" t="n"/>
      <c r="D869" s="28" t="n"/>
      <c r="E869" s="28" t="n"/>
      <c r="F869" s="28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50">
      <c r="A870" s="7" t="n"/>
      <c r="B870" s="27" t="n"/>
      <c r="C870" s="28" t="n"/>
      <c r="D870" s="28" t="n"/>
      <c r="E870" s="28" t="n"/>
      <c r="F870" s="28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50">
      <c r="A871" s="7" t="n"/>
      <c r="B871" s="27" t="n"/>
      <c r="C871" s="28" t="n"/>
      <c r="D871" s="28" t="n"/>
      <c r="E871" s="28" t="n"/>
      <c r="F871" s="28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50">
      <c r="A872" s="7" t="n"/>
      <c r="B872" s="27" t="n"/>
      <c r="C872" s="28" t="n"/>
      <c r="D872" s="28" t="n"/>
      <c r="E872" s="28" t="n"/>
      <c r="F872" s="28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50">
      <c r="A873" s="7" t="n"/>
      <c r="B873" s="27" t="n"/>
      <c r="C873" s="28" t="n"/>
      <c r="D873" s="28" t="n"/>
      <c r="E873" s="28" t="n"/>
      <c r="F873" s="28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50">
      <c r="A874" s="7" t="n"/>
      <c r="B874" s="27" t="n"/>
      <c r="C874" s="28" t="n"/>
      <c r="D874" s="28" t="n"/>
      <c r="E874" s="28" t="n"/>
      <c r="F874" s="28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50">
      <c r="A875" s="7" t="n"/>
      <c r="B875" s="27" t="n"/>
      <c r="C875" s="28" t="n"/>
      <c r="D875" s="28" t="n"/>
      <c r="E875" s="28" t="n"/>
      <c r="F875" s="28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50">
      <c r="A876" s="7" t="n"/>
      <c r="B876" s="27" t="n"/>
      <c r="C876" s="28" t="n"/>
      <c r="D876" s="28" t="n"/>
      <c r="E876" s="28" t="n"/>
      <c r="F876" s="28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50">
      <c r="A877" s="7" t="n"/>
      <c r="B877" s="27" t="n"/>
      <c r="C877" s="28" t="n"/>
      <c r="D877" s="28" t="n"/>
      <c r="E877" s="28" t="n"/>
      <c r="F877" s="28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50">
      <c r="A878" s="7" t="n"/>
      <c r="B878" s="27" t="n"/>
      <c r="C878" s="28" t="n"/>
      <c r="D878" s="28" t="n"/>
      <c r="E878" s="28" t="n"/>
      <c r="F878" s="28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50">
      <c r="A879" s="7" t="n"/>
      <c r="B879" s="27" t="n"/>
      <c r="C879" s="28" t="n"/>
      <c r="D879" s="28" t="n"/>
      <c r="E879" s="28" t="n"/>
      <c r="F879" s="28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50">
      <c r="A880" s="7" t="n"/>
      <c r="B880" s="27" t="n"/>
      <c r="C880" s="28" t="n"/>
      <c r="D880" s="28" t="n"/>
      <c r="E880" s="28" t="n"/>
      <c r="F880" s="28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50">
      <c r="A881" s="7" t="n"/>
      <c r="B881" s="27" t="n"/>
      <c r="C881" s="28" t="n"/>
      <c r="D881" s="28" t="n"/>
      <c r="E881" s="28" t="n"/>
      <c r="F881" s="28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50">
      <c r="A882" s="7" t="n"/>
      <c r="B882" s="27" t="n"/>
      <c r="C882" s="28" t="n"/>
      <c r="D882" s="28" t="n"/>
      <c r="E882" s="28" t="n"/>
      <c r="F882" s="28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50">
      <c r="A883" s="7" t="n"/>
      <c r="B883" s="27" t="n"/>
      <c r="C883" s="28" t="n"/>
      <c r="D883" s="28" t="n"/>
      <c r="E883" s="28" t="n"/>
      <c r="F883" s="28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50">
      <c r="A884" s="7" t="n"/>
      <c r="B884" s="27" t="n"/>
      <c r="C884" s="28" t="n"/>
      <c r="D884" s="28" t="n"/>
      <c r="E884" s="28" t="n"/>
      <c r="F884" s="28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50">
      <c r="A885" s="7" t="n"/>
      <c r="B885" s="27" t="n"/>
      <c r="C885" s="28" t="n"/>
      <c r="D885" s="28" t="n"/>
      <c r="E885" s="28" t="n"/>
      <c r="F885" s="28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50">
      <c r="A886" s="7" t="n"/>
      <c r="B886" s="27" t="n"/>
      <c r="C886" s="28" t="n"/>
      <c r="D886" s="28" t="n"/>
      <c r="E886" s="28" t="n"/>
      <c r="F886" s="28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50">
      <c r="A887" s="7" t="n"/>
      <c r="B887" s="27" t="n"/>
      <c r="C887" s="28" t="n"/>
      <c r="D887" s="28" t="n"/>
      <c r="E887" s="28" t="n"/>
      <c r="F887" s="28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50">
      <c r="A888" s="7" t="n"/>
      <c r="B888" s="27" t="n"/>
      <c r="C888" s="28" t="n"/>
      <c r="D888" s="28" t="n"/>
      <c r="E888" s="28" t="n"/>
      <c r="F888" s="28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50">
      <c r="A889" s="7" t="n"/>
      <c r="B889" s="27" t="n"/>
      <c r="C889" s="28" t="n"/>
      <c r="D889" s="28" t="n"/>
      <c r="E889" s="28" t="n"/>
      <c r="F889" s="28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50">
      <c r="A890" s="7" t="n"/>
      <c r="B890" s="27" t="n"/>
      <c r="C890" s="28" t="n"/>
      <c r="D890" s="28" t="n"/>
      <c r="E890" s="28" t="n"/>
      <c r="F890" s="28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50">
      <c r="A891" s="7" t="n"/>
      <c r="B891" s="27" t="n"/>
      <c r="C891" s="28" t="n"/>
      <c r="D891" s="28" t="n"/>
      <c r="E891" s="28" t="n"/>
      <c r="F891" s="28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50">
      <c r="A892" s="7" t="n"/>
      <c r="B892" s="27" t="n"/>
      <c r="C892" s="28" t="n"/>
      <c r="D892" s="28" t="n"/>
      <c r="E892" s="28" t="n"/>
      <c r="F892" s="28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50">
      <c r="A893" s="7" t="n"/>
      <c r="B893" s="27" t="n"/>
      <c r="C893" s="28" t="n"/>
      <c r="D893" s="28" t="n"/>
      <c r="E893" s="28" t="n"/>
      <c r="F893" s="28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50">
      <c r="A894" s="7" t="n"/>
      <c r="B894" s="27" t="n"/>
      <c r="C894" s="28" t="n"/>
      <c r="D894" s="28" t="n"/>
      <c r="E894" s="28" t="n"/>
      <c r="F894" s="28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50">
      <c r="A895" s="7" t="n"/>
      <c r="B895" s="27" t="n"/>
      <c r="C895" s="28" t="n"/>
      <c r="D895" s="28" t="n"/>
      <c r="E895" s="28" t="n"/>
      <c r="F895" s="28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50">
      <c r="A896" s="7" t="n"/>
      <c r="B896" s="27" t="n"/>
      <c r="C896" s="28" t="n"/>
      <c r="D896" s="28" t="n"/>
      <c r="E896" s="28" t="n"/>
      <c r="F896" s="28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50">
      <c r="A897" s="7" t="n"/>
      <c r="B897" s="27" t="n"/>
      <c r="C897" s="28" t="n"/>
      <c r="D897" s="28" t="n"/>
      <c r="E897" s="28" t="n"/>
      <c r="F897" s="28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50">
      <c r="A898" s="7" t="n"/>
      <c r="B898" s="27" t="n"/>
      <c r="C898" s="28" t="n"/>
      <c r="D898" s="28" t="n"/>
      <c r="E898" s="28" t="n"/>
      <c r="F898" s="28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50">
      <c r="A899" s="7" t="n"/>
      <c r="B899" s="27" t="n"/>
      <c r="C899" s="28" t="n"/>
      <c r="D899" s="28" t="n"/>
      <c r="E899" s="28" t="n"/>
      <c r="F899" s="28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50">
      <c r="A900" s="7" t="n"/>
      <c r="B900" s="27" t="n"/>
      <c r="C900" s="28" t="n"/>
      <c r="D900" s="28" t="n"/>
      <c r="E900" s="28" t="n"/>
      <c r="F900" s="28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50">
      <c r="A901" s="7" t="n"/>
      <c r="B901" s="27" t="n"/>
      <c r="C901" s="28" t="n"/>
      <c r="D901" s="28" t="n"/>
      <c r="E901" s="28" t="n"/>
      <c r="F901" s="28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50">
      <c r="A902" s="7" t="n"/>
      <c r="B902" s="27" t="n"/>
      <c r="C902" s="28" t="n"/>
      <c r="D902" s="28" t="n"/>
      <c r="E902" s="28" t="n"/>
      <c r="F902" s="28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50">
      <c r="A903" s="7" t="n"/>
      <c r="B903" s="27" t="n"/>
      <c r="C903" s="28" t="n"/>
      <c r="D903" s="28" t="n"/>
      <c r="E903" s="28" t="n"/>
      <c r="F903" s="28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50">
      <c r="A904" s="7" t="n"/>
      <c r="B904" s="27" t="n"/>
      <c r="C904" s="28" t="n"/>
      <c r="D904" s="28" t="n"/>
      <c r="E904" s="28" t="n"/>
      <c r="F904" s="28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50">
      <c r="A905" s="7" t="n"/>
      <c r="B905" s="27" t="n"/>
      <c r="C905" s="28" t="n"/>
      <c r="D905" s="28" t="n"/>
      <c r="E905" s="28" t="n"/>
      <c r="F905" s="28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50">
      <c r="A906" s="7" t="n"/>
      <c r="B906" s="27" t="n"/>
      <c r="C906" s="28" t="n"/>
      <c r="D906" s="28" t="n"/>
      <c r="E906" s="28" t="n"/>
      <c r="F906" s="28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50">
      <c r="A907" s="7" t="n"/>
      <c r="B907" s="27" t="n"/>
      <c r="C907" s="28" t="n"/>
      <c r="D907" s="28" t="n"/>
      <c r="E907" s="28" t="n"/>
      <c r="F907" s="28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50">
      <c r="A908" s="7" t="n"/>
      <c r="B908" s="27" t="n"/>
      <c r="C908" s="28" t="n"/>
      <c r="D908" s="28" t="n"/>
      <c r="E908" s="28" t="n"/>
      <c r="F908" s="28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50">
      <c r="A909" s="7" t="n"/>
      <c r="B909" s="27" t="n"/>
      <c r="C909" s="28" t="n"/>
      <c r="D909" s="28" t="n"/>
      <c r="E909" s="28" t="n"/>
      <c r="F909" s="28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50">
      <c r="A910" s="7" t="n"/>
      <c r="B910" s="27" t="n"/>
      <c r="C910" s="28" t="n"/>
      <c r="D910" s="28" t="n"/>
      <c r="E910" s="28" t="n"/>
      <c r="F910" s="28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50">
      <c r="A911" s="7" t="n"/>
      <c r="B911" s="27" t="n"/>
      <c r="C911" s="28" t="n"/>
      <c r="D911" s="28" t="n"/>
      <c r="E911" s="28" t="n"/>
      <c r="F911" s="28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50">
      <c r="A912" s="7" t="n"/>
      <c r="B912" s="27" t="n"/>
      <c r="C912" s="28" t="n"/>
      <c r="D912" s="28" t="n"/>
      <c r="E912" s="28" t="n"/>
      <c r="F912" s="28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50">
      <c r="A913" s="7" t="n"/>
      <c r="B913" s="27" t="n"/>
      <c r="C913" s="28" t="n"/>
      <c r="D913" s="28" t="n"/>
      <c r="E913" s="28" t="n"/>
      <c r="F913" s="28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50">
      <c r="A914" s="7" t="n"/>
      <c r="B914" s="27" t="n"/>
      <c r="C914" s="28" t="n"/>
      <c r="D914" s="28" t="n"/>
      <c r="E914" s="28" t="n"/>
      <c r="F914" s="28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50">
      <c r="A915" s="7" t="n"/>
      <c r="B915" s="27" t="n"/>
      <c r="C915" s="28" t="n"/>
      <c r="D915" s="28" t="n"/>
      <c r="E915" s="28" t="n"/>
      <c r="F915" s="28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50">
      <c r="A916" s="7" t="n"/>
      <c r="B916" s="27" t="n"/>
      <c r="C916" s="28" t="n"/>
      <c r="D916" s="28" t="n"/>
      <c r="E916" s="28" t="n"/>
      <c r="F916" s="28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50">
      <c r="A917" s="7" t="n"/>
      <c r="B917" s="27" t="n"/>
      <c r="C917" s="28" t="n"/>
      <c r="D917" s="28" t="n"/>
      <c r="E917" s="28" t="n"/>
      <c r="F917" s="28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50">
      <c r="A918" s="7" t="n"/>
      <c r="B918" s="27" t="n"/>
      <c r="C918" s="28" t="n"/>
      <c r="D918" s="28" t="n"/>
      <c r="E918" s="28" t="n"/>
      <c r="F918" s="28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50">
      <c r="A919" s="7" t="n"/>
      <c r="B919" s="27" t="n"/>
      <c r="C919" s="28" t="n"/>
      <c r="D919" s="28" t="n"/>
      <c r="E919" s="28" t="n"/>
      <c r="F919" s="28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50">
      <c r="A920" s="7" t="n"/>
      <c r="B920" s="27" t="n"/>
      <c r="C920" s="28" t="n"/>
      <c r="D920" s="28" t="n"/>
      <c r="E920" s="28" t="n"/>
      <c r="F920" s="28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50">
      <c r="A921" s="7" t="n"/>
      <c r="B921" s="27" t="n"/>
      <c r="C921" s="28" t="n"/>
      <c r="D921" s="28" t="n"/>
      <c r="E921" s="28" t="n"/>
      <c r="F921" s="28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50">
      <c r="A922" s="7" t="n"/>
      <c r="B922" s="27" t="n"/>
      <c r="C922" s="28" t="n"/>
      <c r="D922" s="28" t="n"/>
      <c r="E922" s="28" t="n"/>
      <c r="F922" s="28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50">
      <c r="A923" s="7" t="n"/>
      <c r="B923" s="27" t="n"/>
      <c r="C923" s="28" t="n"/>
      <c r="D923" s="28" t="n"/>
      <c r="E923" s="28" t="n"/>
      <c r="F923" s="28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50">
      <c r="A924" s="7" t="n"/>
      <c r="B924" s="27" t="n"/>
      <c r="C924" s="28" t="n"/>
      <c r="D924" s="28" t="n"/>
      <c r="E924" s="28" t="n"/>
      <c r="F924" s="28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50">
      <c r="A925" s="7" t="n"/>
      <c r="B925" s="27" t="n"/>
      <c r="C925" s="28" t="n"/>
      <c r="D925" s="28" t="n"/>
      <c r="E925" s="28" t="n"/>
      <c r="F925" s="28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50">
      <c r="A926" s="7" t="n"/>
      <c r="B926" s="27" t="n"/>
      <c r="C926" s="28" t="n"/>
      <c r="D926" s="28" t="n"/>
      <c r="E926" s="28" t="n"/>
      <c r="F926" s="28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50">
      <c r="A927" s="7" t="n"/>
      <c r="B927" s="27" t="n"/>
      <c r="C927" s="28" t="n"/>
      <c r="D927" s="28" t="n"/>
      <c r="E927" s="28" t="n"/>
      <c r="F927" s="28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50">
      <c r="A928" s="7" t="n"/>
      <c r="B928" s="27" t="n"/>
      <c r="C928" s="28" t="n"/>
      <c r="D928" s="28" t="n"/>
      <c r="E928" s="28" t="n"/>
      <c r="F928" s="28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50">
      <c r="A929" s="7" t="n"/>
      <c r="B929" s="27" t="n"/>
      <c r="C929" s="28" t="n"/>
      <c r="D929" s="28" t="n"/>
      <c r="E929" s="28" t="n"/>
      <c r="F929" s="28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50">
      <c r="A930" s="7" t="n"/>
      <c r="B930" s="27" t="n"/>
      <c r="C930" s="28" t="n"/>
      <c r="D930" s="28" t="n"/>
      <c r="E930" s="28" t="n"/>
      <c r="F930" s="28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50">
      <c r="A931" s="7" t="n"/>
      <c r="B931" s="27" t="n"/>
      <c r="C931" s="28" t="n"/>
      <c r="D931" s="28" t="n"/>
      <c r="E931" s="28" t="n"/>
      <c r="F931" s="28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50">
      <c r="A932" s="7" t="n"/>
      <c r="B932" s="27" t="n"/>
      <c r="C932" s="28" t="n"/>
      <c r="D932" s="28" t="n"/>
      <c r="E932" s="28" t="n"/>
      <c r="F932" s="28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50">
      <c r="A933" s="7" t="n"/>
      <c r="B933" s="27" t="n"/>
      <c r="C933" s="28" t="n"/>
      <c r="D933" s="28" t="n"/>
      <c r="E933" s="28" t="n"/>
      <c r="F933" s="28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50">
      <c r="A934" s="7" t="n"/>
      <c r="B934" s="27" t="n"/>
      <c r="C934" s="28" t="n"/>
      <c r="D934" s="28" t="n"/>
      <c r="E934" s="28" t="n"/>
      <c r="F934" s="28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50">
      <c r="A935" s="7" t="n"/>
      <c r="B935" s="27" t="n"/>
      <c r="C935" s="28" t="n"/>
      <c r="D935" s="28" t="n"/>
      <c r="E935" s="28" t="n"/>
      <c r="F935" s="28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50">
      <c r="A936" s="7" t="n"/>
      <c r="B936" s="27" t="n"/>
      <c r="C936" s="28" t="n"/>
      <c r="D936" s="28" t="n"/>
      <c r="E936" s="28" t="n"/>
      <c r="F936" s="28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50">
      <c r="A937" s="7" t="n"/>
      <c r="B937" s="27" t="n"/>
      <c r="C937" s="28" t="n"/>
      <c r="D937" s="28" t="n"/>
      <c r="E937" s="28" t="n"/>
      <c r="F937" s="28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50">
      <c r="A938" s="7" t="n"/>
      <c r="B938" s="27" t="n"/>
      <c r="C938" s="28" t="n"/>
      <c r="D938" s="28" t="n"/>
      <c r="E938" s="28" t="n"/>
      <c r="F938" s="28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50">
      <c r="A939" s="7" t="n"/>
      <c r="B939" s="27" t="n"/>
      <c r="C939" s="28" t="n"/>
      <c r="D939" s="28" t="n"/>
      <c r="E939" s="28" t="n"/>
      <c r="F939" s="28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50">
      <c r="A940" s="7" t="n"/>
      <c r="B940" s="27" t="n"/>
      <c r="C940" s="28" t="n"/>
      <c r="D940" s="28" t="n"/>
      <c r="E940" s="28" t="n"/>
      <c r="F940" s="28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50">
      <c r="A941" s="7" t="n"/>
      <c r="B941" s="27" t="n"/>
      <c r="C941" s="28" t="n"/>
      <c r="D941" s="28" t="n"/>
      <c r="E941" s="28" t="n"/>
      <c r="F941" s="28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50">
      <c r="A942" s="7" t="n"/>
      <c r="B942" s="27" t="n"/>
      <c r="C942" s="28" t="n"/>
      <c r="D942" s="28" t="n"/>
      <c r="E942" s="28" t="n"/>
      <c r="F942" s="28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50">
      <c r="A943" s="7" t="n"/>
      <c r="B943" s="27" t="n"/>
      <c r="C943" s="28" t="n"/>
      <c r="D943" s="28" t="n"/>
      <c r="E943" s="28" t="n"/>
      <c r="F943" s="28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50">
      <c r="A944" s="7" t="n"/>
      <c r="B944" s="27" t="n"/>
      <c r="C944" s="28" t="n"/>
      <c r="D944" s="28" t="n"/>
      <c r="E944" s="28" t="n"/>
      <c r="F944" s="28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50">
      <c r="A945" s="7" t="n"/>
      <c r="B945" s="27" t="n"/>
      <c r="C945" s="28" t="n"/>
      <c r="D945" s="28" t="n"/>
      <c r="E945" s="28" t="n"/>
      <c r="F945" s="28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50">
      <c r="A946" s="7" t="n"/>
      <c r="B946" s="27" t="n"/>
      <c r="C946" s="28" t="n"/>
      <c r="D946" s="28" t="n"/>
      <c r="E946" s="28" t="n"/>
      <c r="F946" s="28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50">
      <c r="A947" s="7" t="n"/>
      <c r="B947" s="27" t="n"/>
      <c r="C947" s="28" t="n"/>
      <c r="D947" s="28" t="n"/>
      <c r="E947" s="28" t="n"/>
      <c r="F947" s="28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50">
      <c r="A948" s="7" t="n"/>
      <c r="B948" s="27" t="n"/>
      <c r="C948" s="28" t="n"/>
      <c r="D948" s="28" t="n"/>
      <c r="E948" s="28" t="n"/>
      <c r="F948" s="28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50">
      <c r="A949" s="7" t="n"/>
      <c r="B949" s="27" t="n"/>
      <c r="C949" s="28" t="n"/>
      <c r="D949" s="28" t="n"/>
      <c r="E949" s="28" t="n"/>
      <c r="F949" s="28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50">
      <c r="A950" s="7" t="n"/>
      <c r="B950" s="27" t="n"/>
      <c r="C950" s="28" t="n"/>
      <c r="D950" s="28" t="n"/>
      <c r="E950" s="28" t="n"/>
      <c r="F950" s="28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50">
      <c r="A951" s="7" t="n"/>
      <c r="B951" s="27" t="n"/>
      <c r="C951" s="28" t="n"/>
      <c r="D951" s="28" t="n"/>
      <c r="E951" s="28" t="n"/>
      <c r="F951" s="28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50">
      <c r="A952" s="7" t="n"/>
      <c r="B952" s="27" t="n"/>
      <c r="C952" s="28" t="n"/>
      <c r="D952" s="28" t="n"/>
      <c r="E952" s="28" t="n"/>
      <c r="F952" s="28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50">
      <c r="A953" s="7" t="n"/>
      <c r="B953" s="27" t="n"/>
      <c r="C953" s="28" t="n"/>
      <c r="D953" s="28" t="n"/>
      <c r="E953" s="28" t="n"/>
      <c r="F953" s="28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50">
      <c r="A954" s="7" t="n"/>
      <c r="B954" s="27" t="n"/>
      <c r="C954" s="28" t="n"/>
      <c r="D954" s="28" t="n"/>
      <c r="E954" s="28" t="n"/>
      <c r="F954" s="28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50">
      <c r="A955" s="7" t="n"/>
      <c r="B955" s="27" t="n"/>
      <c r="C955" s="28" t="n"/>
      <c r="D955" s="28" t="n"/>
      <c r="E955" s="28" t="n"/>
      <c r="F955" s="28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50">
      <c r="A956" s="7" t="n"/>
      <c r="B956" s="27" t="n"/>
      <c r="C956" s="28" t="n"/>
      <c r="D956" s="28" t="n"/>
      <c r="E956" s="28" t="n"/>
      <c r="F956" s="28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50">
      <c r="A957" s="7" t="n"/>
      <c r="B957" s="27" t="n"/>
      <c r="C957" s="28" t="n"/>
      <c r="D957" s="28" t="n"/>
      <c r="E957" s="28" t="n"/>
      <c r="F957" s="28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50">
      <c r="A958" s="7" t="n"/>
      <c r="B958" s="27" t="n"/>
      <c r="C958" s="28" t="n"/>
      <c r="D958" s="28" t="n"/>
      <c r="E958" s="28" t="n"/>
      <c r="F958" s="28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50">
      <c r="A959" s="7" t="n"/>
      <c r="B959" s="27" t="n"/>
      <c r="C959" s="28" t="n"/>
      <c r="D959" s="28" t="n"/>
      <c r="E959" s="28" t="n"/>
      <c r="F959" s="28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50">
      <c r="A960" s="7" t="n"/>
      <c r="B960" s="27" t="n"/>
      <c r="C960" s="28" t="n"/>
      <c r="D960" s="28" t="n"/>
      <c r="E960" s="28" t="n"/>
      <c r="F960" s="28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50">
      <c r="A961" s="7" t="n"/>
      <c r="B961" s="27" t="n"/>
      <c r="C961" s="28" t="n"/>
      <c r="D961" s="28" t="n"/>
      <c r="E961" s="28" t="n"/>
      <c r="F961" s="28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50">
      <c r="A962" s="7" t="n"/>
      <c r="B962" s="27" t="n"/>
      <c r="C962" s="28" t="n"/>
      <c r="D962" s="28" t="n"/>
      <c r="E962" s="28" t="n"/>
      <c r="F962" s="28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50">
      <c r="A963" s="7" t="n"/>
      <c r="B963" s="27" t="n"/>
      <c r="C963" s="28" t="n"/>
      <c r="D963" s="28" t="n"/>
      <c r="E963" s="28" t="n"/>
      <c r="F963" s="28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50">
      <c r="A964" s="7" t="n"/>
      <c r="B964" s="27" t="n"/>
      <c r="C964" s="28" t="n"/>
      <c r="D964" s="28" t="n"/>
      <c r="E964" s="28" t="n"/>
      <c r="F964" s="28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50">
      <c r="A965" s="7" t="n"/>
      <c r="B965" s="27" t="n"/>
      <c r="C965" s="28" t="n"/>
      <c r="D965" s="28" t="n"/>
      <c r="E965" s="28" t="n"/>
      <c r="F965" s="28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50">
      <c r="A966" s="7" t="n"/>
      <c r="B966" s="27" t="n"/>
      <c r="C966" s="28" t="n"/>
      <c r="D966" s="28" t="n"/>
      <c r="E966" s="28" t="n"/>
      <c r="F966" s="28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50">
      <c r="A967" s="7" t="n"/>
      <c r="B967" s="27" t="n"/>
      <c r="C967" s="28" t="n"/>
      <c r="D967" s="28" t="n"/>
      <c r="E967" s="28" t="n"/>
      <c r="F967" s="28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50">
      <c r="A968" s="7" t="n"/>
      <c r="B968" s="27" t="n"/>
      <c r="C968" s="28" t="n"/>
      <c r="D968" s="28" t="n"/>
      <c r="E968" s="28" t="n"/>
      <c r="F968" s="28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50">
      <c r="A969" s="7" t="n"/>
      <c r="B969" s="27" t="n"/>
      <c r="C969" s="28" t="n"/>
      <c r="D969" s="28" t="n"/>
      <c r="E969" s="28" t="n"/>
      <c r="F969" s="28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50">
      <c r="A970" s="7" t="n"/>
      <c r="B970" s="27" t="n"/>
      <c r="C970" s="28" t="n"/>
      <c r="D970" s="28" t="n"/>
      <c r="E970" s="28" t="n"/>
      <c r="F970" s="28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50">
      <c r="A971" s="7" t="n"/>
      <c r="B971" s="27" t="n"/>
      <c r="C971" s="28" t="n"/>
      <c r="D971" s="28" t="n"/>
      <c r="E971" s="28" t="n"/>
      <c r="F971" s="28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50">
      <c r="A972" s="7" t="n"/>
      <c r="B972" s="27" t="n"/>
      <c r="C972" s="28" t="n"/>
      <c r="D972" s="28" t="n"/>
      <c r="E972" s="28" t="n"/>
      <c r="F972" s="28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50">
      <c r="A973" s="7" t="n"/>
      <c r="B973" s="27" t="n"/>
      <c r="C973" s="28" t="n"/>
      <c r="D973" s="28" t="n"/>
      <c r="E973" s="28" t="n"/>
      <c r="F973" s="28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50">
      <c r="A974" s="7" t="n"/>
      <c r="B974" s="27" t="n"/>
      <c r="C974" s="28" t="n"/>
      <c r="D974" s="28" t="n"/>
      <c r="E974" s="28" t="n"/>
      <c r="F974" s="28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50">
      <c r="A975" s="7" t="n"/>
      <c r="B975" s="27" t="n"/>
      <c r="C975" s="28" t="n"/>
      <c r="D975" s="28" t="n"/>
      <c r="E975" s="28" t="n"/>
      <c r="F975" s="28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50">
      <c r="A976" s="7" t="n"/>
      <c r="B976" s="27" t="n"/>
      <c r="C976" s="28" t="n"/>
      <c r="D976" s="28" t="n"/>
      <c r="E976" s="28" t="n"/>
      <c r="F976" s="28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50">
      <c r="A977" s="7" t="n"/>
      <c r="B977" s="27" t="n"/>
      <c r="C977" s="28" t="n"/>
      <c r="D977" s="28" t="n"/>
      <c r="E977" s="28" t="n"/>
      <c r="F977" s="28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50">
      <c r="A978" s="7" t="n"/>
      <c r="B978" s="27" t="n"/>
      <c r="C978" s="28" t="n"/>
      <c r="D978" s="28" t="n"/>
      <c r="E978" s="28" t="n"/>
      <c r="F978" s="28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50">
      <c r="A979" s="7" t="n"/>
      <c r="B979" s="27" t="n"/>
      <c r="C979" s="28" t="n"/>
      <c r="D979" s="28" t="n"/>
      <c r="E979" s="28" t="n"/>
      <c r="F979" s="28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50">
      <c r="A980" s="7" t="n"/>
      <c r="B980" s="27" t="n"/>
      <c r="C980" s="28" t="n"/>
      <c r="D980" s="28" t="n"/>
      <c r="E980" s="28" t="n"/>
      <c r="F980" s="28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50">
      <c r="A981" s="7" t="n"/>
      <c r="B981" s="27" t="n"/>
      <c r="C981" s="28" t="n"/>
      <c r="D981" s="28" t="n"/>
      <c r="E981" s="28" t="n"/>
      <c r="F981" s="28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50">
      <c r="A982" s="7" t="n"/>
      <c r="B982" s="27" t="n"/>
      <c r="C982" s="28" t="n"/>
      <c r="D982" s="28" t="n"/>
      <c r="E982" s="28" t="n"/>
      <c r="F982" s="28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50">
      <c r="A983" s="7" t="n"/>
      <c r="B983" s="27" t="n"/>
      <c r="C983" s="28" t="n"/>
      <c r="D983" s="28" t="n"/>
      <c r="E983" s="28" t="n"/>
      <c r="F983" s="28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50">
      <c r="A984" s="7" t="n"/>
      <c r="B984" s="27" t="n"/>
      <c r="C984" s="28" t="n"/>
      <c r="D984" s="28" t="n"/>
      <c r="E984" s="28" t="n"/>
      <c r="F984" s="28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50">
      <c r="A985" s="7" t="n"/>
      <c r="B985" s="27" t="n"/>
      <c r="C985" s="28" t="n"/>
      <c r="D985" s="28" t="n"/>
      <c r="E985" s="28" t="n"/>
      <c r="F985" s="28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50">
      <c r="A986" s="7" t="n"/>
      <c r="B986" s="27" t="n"/>
      <c r="C986" s="28" t="n"/>
      <c r="D986" s="28" t="n"/>
      <c r="E986" s="28" t="n"/>
      <c r="F986" s="28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50">
      <c r="A987" s="7" t="n"/>
      <c r="B987" s="27" t="n"/>
      <c r="C987" s="28" t="n"/>
      <c r="D987" s="28" t="n"/>
      <c r="E987" s="28" t="n"/>
      <c r="F987" s="28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50">
      <c r="A988" s="7" t="n"/>
      <c r="B988" s="27" t="n"/>
      <c r="C988" s="28" t="n"/>
      <c r="D988" s="28" t="n"/>
      <c r="E988" s="28" t="n"/>
      <c r="F988" s="28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50">
      <c r="A989" s="7" t="n"/>
      <c r="B989" s="27" t="n"/>
      <c r="C989" s="28" t="n"/>
      <c r="D989" s="28" t="n"/>
      <c r="E989" s="28" t="n"/>
      <c r="F989" s="28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50">
      <c r="A990" s="7" t="n"/>
      <c r="B990" s="27" t="n"/>
      <c r="C990" s="28" t="n"/>
      <c r="D990" s="28" t="n"/>
      <c r="E990" s="28" t="n"/>
      <c r="F990" s="28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50">
      <c r="A991" s="7" t="n"/>
      <c r="B991" s="27" t="n"/>
      <c r="C991" s="28" t="n"/>
      <c r="D991" s="28" t="n"/>
      <c r="E991" s="28" t="n"/>
      <c r="F991" s="28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50">
      <c r="A992" s="7" t="n"/>
      <c r="B992" s="27" t="n"/>
      <c r="C992" s="28" t="n"/>
      <c r="D992" s="28" t="n"/>
      <c r="E992" s="28" t="n"/>
      <c r="F992" s="28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50">
      <c r="A993" s="7" t="n"/>
      <c r="B993" s="27" t="n"/>
      <c r="C993" s="28" t="n"/>
      <c r="D993" s="28" t="n"/>
      <c r="E993" s="28" t="n"/>
      <c r="F993" s="28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50">
      <c r="A994" s="7" t="n"/>
      <c r="B994" s="27" t="n"/>
      <c r="C994" s="28" t="n"/>
      <c r="D994" s="28" t="n"/>
      <c r="E994" s="28" t="n"/>
      <c r="F994" s="28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50">
      <c r="A995" s="7" t="n"/>
      <c r="B995" s="27" t="n"/>
      <c r="C995" s="28" t="n"/>
      <c r="D995" s="28" t="n"/>
      <c r="E995" s="28" t="n"/>
      <c r="F995" s="28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50">
      <c r="A996" s="7" t="n"/>
      <c r="B996" s="27" t="n"/>
      <c r="C996" s="28" t="n"/>
      <c r="D996" s="28" t="n"/>
      <c r="E996" s="28" t="n"/>
      <c r="F996" s="28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50">
      <c r="A997" s="7" t="n"/>
      <c r="B997" s="27" t="n"/>
      <c r="C997" s="28" t="n"/>
      <c r="D997" s="28" t="n"/>
      <c r="E997" s="28" t="n"/>
      <c r="F997" s="28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50">
      <c r="A998" s="7" t="n"/>
      <c r="B998" s="27" t="n"/>
      <c r="C998" s="28" t="n"/>
      <c r="D998" s="28" t="n"/>
      <c r="E998" s="28" t="n"/>
      <c r="F998" s="28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50">
      <c r="A999" s="7" t="n"/>
      <c r="B999" s="27" t="n"/>
      <c r="C999" s="28" t="n"/>
      <c r="D999" s="28" t="n"/>
      <c r="E999" s="28" t="n"/>
      <c r="F999" s="28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50">
      <c r="A1000" s="7" t="n"/>
      <c r="B1000" s="27" t="n"/>
      <c r="C1000" s="28" t="n"/>
      <c r="D1000" s="28" t="n"/>
      <c r="E1000" s="28" t="n"/>
      <c r="F1000" s="28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6">
    <mergeCell ref="D5:F5"/>
    <mergeCell ref="B3:C3"/>
    <mergeCell ref="B5:C5"/>
    <mergeCell ref="D4:F4"/>
    <mergeCell ref="D3:F3"/>
    <mergeCell ref="B4:C4"/>
  </mergeCells>
  <pageMargins left="0.7" right="0.7" top="0.75" bottom="0.75" header="0.511811023622047" footer="0"/>
  <pageSetup orientation="landscape" horizontalDpi="300" verticalDpi="300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54"/>
  <sheetViews>
    <sheetView zoomScaleNormal="100" workbookViewId="0">
      <selection activeCell="A9" sqref="A9"/>
    </sheetView>
  </sheetViews>
  <sheetFormatPr baseColWidth="8" defaultColWidth="14.453125" defaultRowHeight="14.5"/>
  <cols>
    <col width="17.81640625" customWidth="1" style="150" min="1" max="3"/>
    <col width="60" customWidth="1" style="150" min="4" max="4"/>
    <col width="12.26953125" customWidth="1" style="150" min="5" max="5"/>
    <col width="31.453125" customWidth="1" style="150" min="6" max="6"/>
    <col width="9.1796875" customWidth="1" style="150" min="7" max="26"/>
  </cols>
  <sheetData>
    <row r="1" ht="25.5" customHeight="1" s="150">
      <c r="A1" s="56" t="inlineStr">
        <is>
          <t>Requirement Level 1</t>
        </is>
      </c>
      <c r="B1" s="56" t="inlineStr">
        <is>
          <t>Requirement Level 2</t>
        </is>
      </c>
      <c r="C1" s="56" t="inlineStr">
        <is>
          <t>Requirement Level 3</t>
        </is>
      </c>
      <c r="D1" s="56" t="inlineStr">
        <is>
          <t>Test Criteria</t>
        </is>
      </c>
      <c r="E1" s="56" t="inlineStr">
        <is>
          <t>Test Type</t>
        </is>
      </c>
      <c r="F1" s="56" t="inlineStr">
        <is>
          <t>Note</t>
        </is>
      </c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</row>
    <row r="2" ht="12.75" customHeight="1" s="150">
      <c r="A2" s="58" t="inlineStr">
        <is>
          <t>3.1 Tìm kiếm thư</t>
        </is>
      </c>
      <c r="B2" s="58" t="inlineStr">
        <is>
          <t>3.1.1 Tìm kiếm cơ bản</t>
        </is>
      </c>
      <c r="C2" s="58" t="inlineStr">
        <is>
          <t>Hiển thị giao diện</t>
        </is>
      </c>
      <c r="D2" s="59" t="inlineStr">
        <is>
          <t>Kiểm tra hiển thị thanh tìm kiếm và nút [Hiển thị tùy chọn tìm kiếm] tại Hộp thư đến</t>
        </is>
      </c>
      <c r="E2" s="60" t="inlineStr">
        <is>
          <t>GUI</t>
        </is>
      </c>
      <c r="F2" s="59" t="n"/>
      <c r="G2" s="61" t="n"/>
      <c r="H2" s="61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Z2" s="61" t="n"/>
    </row>
    <row r="3" ht="12.75" customHeight="1" s="150">
      <c r="A3" s="58" t="n"/>
      <c r="B3" s="58" t="n"/>
      <c r="C3" s="58" t="n"/>
      <c r="D3" s="59" t="inlineStr">
        <is>
          <t>Kiểm tra hiển thị danh sách gợi ý tự động khi gõ từ khóa vào thanh tìm kiếm</t>
        </is>
      </c>
      <c r="E3" s="60" t="inlineStr">
        <is>
          <t>GUI</t>
        </is>
      </c>
      <c r="F3" s="59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  <c r="S3" s="61" t="n"/>
      <c r="T3" s="61" t="n"/>
      <c r="U3" s="61" t="n"/>
      <c r="V3" s="61" t="n"/>
      <c r="W3" s="61" t="n"/>
      <c r="X3" s="61" t="n"/>
      <c r="Y3" s="61" t="n"/>
      <c r="Z3" s="61" t="n"/>
    </row>
    <row r="4" ht="12.75" customHeight="1" s="150">
      <c r="A4" s="58" t="n"/>
      <c r="B4" s="58" t="n"/>
      <c r="C4" s="58" t="inlineStr">
        <is>
          <t>Tìm theo từ khóa</t>
        </is>
      </c>
      <c r="D4" s="59" t="inlineStr">
        <is>
          <t>Kiểm tra tìm kiếm với từ khóa hợp lệ có trong Tiêu đề thư (Subject)</t>
        </is>
      </c>
      <c r="E4" s="60" t="inlineStr">
        <is>
          <t>Function</t>
        </is>
      </c>
      <c r="F4" s="59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</row>
    <row r="5" ht="12.75" customHeight="1" s="150">
      <c r="A5" s="58" t="n"/>
      <c r="B5" s="58" t="n"/>
      <c r="C5" s="58" t="n"/>
      <c r="D5" s="59" t="inlineStr">
        <is>
          <t>Kiểm tra tìm kiếm với từ khóa hợp lệ có trong Nội dung thư (Body)</t>
        </is>
      </c>
      <c r="E5" s="60" t="inlineStr">
        <is>
          <t>Function</t>
        </is>
      </c>
      <c r="F5" s="59" t="n"/>
      <c r="G5" s="61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</row>
    <row r="6" ht="12.75" customHeight="1" s="150">
      <c r="A6" s="58" t="n"/>
      <c r="B6" s="58" t="n"/>
      <c r="C6" s="58" t="n"/>
      <c r="D6" s="59" t="inlineStr">
        <is>
          <t>Kiểm tra tìm kiếm với từ khóa không tồn tại trong hộp thư</t>
        </is>
      </c>
      <c r="E6" s="60" t="inlineStr">
        <is>
          <t>Function</t>
        </is>
      </c>
      <c r="F6" s="59" t="inlineStr">
        <is>
          <t>Hiện thông báo không có kết quả</t>
        </is>
      </c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</row>
    <row r="7" ht="12.75" customHeight="1" s="150">
      <c r="A7" s="58" t="n"/>
      <c r="B7" s="58" t="n"/>
      <c r="C7" s="58" t="n"/>
      <c r="D7" s="59" t="inlineStr">
        <is>
          <t>Kiểm tra tìm kiếm không phân biệt chữ HOA và chữ thường</t>
        </is>
      </c>
      <c r="E7" s="60" t="inlineStr">
        <is>
          <t>Function</t>
        </is>
      </c>
      <c r="F7" s="59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</row>
    <row r="8" ht="12.75" customHeight="1" s="150">
      <c r="A8" s="58" t="n"/>
      <c r="B8" s="58" t="n"/>
      <c r="C8" s="58" t="n"/>
      <c r="D8" s="59" t="inlineStr">
        <is>
          <t>Kiểm tra tìm kiếm với từ khóa có khoảng trắng ở đầu và cuối</t>
        </is>
      </c>
      <c r="E8" s="60" t="inlineStr">
        <is>
          <t>Function</t>
        </is>
      </c>
      <c r="F8" s="59" t="inlineStr">
        <is>
          <t>Tự động cắt khoảng trắng thừa</t>
        </is>
      </c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1" t="n"/>
    </row>
    <row r="9" ht="12.75" customHeight="1" s="150">
      <c r="A9" s="58" t="n"/>
      <c r="B9" s="58" t="n"/>
      <c r="C9" s="58" t="n"/>
      <c r="D9" s="59" t="inlineStr">
        <is>
          <t>Kiểm tra tìm kiếm khi chỉ nhập toàn khoảng trắng (Space)</t>
        </is>
      </c>
      <c r="E9" s="60" t="inlineStr">
        <is>
          <t>Function</t>
        </is>
      </c>
      <c r="F9" s="59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1" t="n"/>
    </row>
    <row r="10" ht="12.75" customHeight="1" s="150">
      <c r="A10" s="58" t="n"/>
      <c r="B10" s="58" t="n"/>
      <c r="C10" s="58" t="n"/>
      <c r="D10" s="59" t="inlineStr">
        <is>
          <t>Kiểm tra tìm kiếm với chuỗi ký tự đặc biệt (!@#$%^&amp;*)</t>
        </is>
      </c>
      <c r="E10" s="60" t="inlineStr">
        <is>
          <t>Function</t>
        </is>
      </c>
      <c r="F10" s="59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1" t="n"/>
    </row>
    <row r="11" ht="12.75" customHeight="1" s="150">
      <c r="A11" s="58" t="n"/>
      <c r="B11" s="58" t="n"/>
      <c r="C11" s="58" t="n"/>
      <c r="D11" s="59" t="inlineStr">
        <is>
          <t>Kiểm tra xóa nhanh từ khóa bằng nút [X] trên thanh tìm kiếm</t>
        </is>
      </c>
      <c r="E11" s="60" t="inlineStr">
        <is>
          <t>Function</t>
        </is>
      </c>
      <c r="F11" s="59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</row>
    <row r="12" ht="12.75" customHeight="1" s="150">
      <c r="A12" s="58" t="n"/>
      <c r="B12" s="58" t="inlineStr">
        <is>
          <t>3.1.2 Tìm kiếm nâng cao</t>
        </is>
      </c>
      <c r="C12" s="58" t="inlineStr">
        <is>
          <t>Hiển thị giao diện</t>
        </is>
      </c>
      <c r="D12" s="59" t="inlineStr">
        <is>
          <t>Kiểm tra mở biểu mẫu Tìm kiếm nâng cao khi nhấn nút [Hiển thị tùy chọn tìm kiếm]</t>
        </is>
      </c>
      <c r="E12" s="60" t="inlineStr">
        <is>
          <t>GUI</t>
        </is>
      </c>
      <c r="F12" s="59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1" t="n"/>
    </row>
    <row r="13" ht="12.75" customHeight="1" s="150">
      <c r="A13" s="58" t="n"/>
      <c r="B13" s="58" t="n"/>
      <c r="C13" s="58" t="n"/>
      <c r="D13" s="59" t="inlineStr">
        <is>
          <t>Kiểm tra giá trị mặc định của các trường trong biểu mẫu Tìm kiếm nâng cao</t>
        </is>
      </c>
      <c r="E13" s="60" t="inlineStr">
        <is>
          <t>GUI</t>
        </is>
      </c>
      <c r="F13" s="59" t="inlineStr">
        <is>
          <t>Phạm vi = Tất cả thư, Ngày = 1 ngày</t>
        </is>
      </c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1" t="n"/>
      <c r="Z13" s="61" t="n"/>
    </row>
    <row r="14" ht="12.75" customHeight="1" s="150">
      <c r="A14" s="58" t="n"/>
      <c r="B14" s="58" t="n"/>
      <c r="C14" s="58" t="inlineStr">
        <is>
          <t>Lọc đơn điều kiện</t>
        </is>
      </c>
      <c r="D14" s="59" t="inlineStr">
        <is>
          <t>Kiểm tra lọc theo trường [Từ] (From) với địa chỉ email người gửi hợp lệ</t>
        </is>
      </c>
      <c r="E14" s="60" t="inlineStr">
        <is>
          <t>Function</t>
        </is>
      </c>
      <c r="F14" s="59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</row>
    <row r="15" ht="12.75" customHeight="1" s="150">
      <c r="A15" s="58" t="n"/>
      <c r="B15" s="58" t="n"/>
      <c r="C15" s="58" t="n"/>
      <c r="D15" s="59" t="inlineStr">
        <is>
          <t>Kiểm tra lọc theo trường [Từ] (From) với email không có thư nào trong hệ thống</t>
        </is>
      </c>
      <c r="E15" s="60" t="inlineStr">
        <is>
          <t>Function</t>
        </is>
      </c>
      <c r="F15" s="59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1" t="n"/>
    </row>
    <row r="16" ht="12.75" customHeight="1" s="150">
      <c r="A16" s="58" t="n"/>
      <c r="B16" s="58" t="n"/>
      <c r="C16" s="58" t="n"/>
      <c r="D16" s="59" t="inlineStr">
        <is>
          <t>Kiểm tra lọc theo trường [Đến] (To) với địa chỉ email người nhận hợp lệ</t>
        </is>
      </c>
      <c r="E16" s="60" t="inlineStr">
        <is>
          <t>Function</t>
        </is>
      </c>
      <c r="F16" s="59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</row>
    <row r="17" ht="12.75" customHeight="1" s="150">
      <c r="A17" s="58" t="n"/>
      <c r="B17" s="58" t="n"/>
      <c r="C17" s="58" t="n"/>
      <c r="D17" s="59" t="inlineStr">
        <is>
          <t>Kiểm tra lọc theo trường [Tiêu đề] (Subject) với từ khóa hợp lệ</t>
        </is>
      </c>
      <c r="E17" s="60" t="inlineStr">
        <is>
          <t>Function</t>
        </is>
      </c>
      <c r="F17" s="59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61" t="n"/>
      <c r="X17" s="61" t="n"/>
      <c r="Y17" s="61" t="n"/>
      <c r="Z17" s="61" t="n"/>
    </row>
    <row r="18" ht="12.75" customHeight="1" s="150">
      <c r="A18" s="58" t="n"/>
      <c r="B18" s="58" t="n"/>
      <c r="C18" s="58" t="n"/>
      <c r="D18" s="59" t="inlineStr">
        <is>
          <t>Kiểm tra lọc theo trường [Có các từ] (Has the words)</t>
        </is>
      </c>
      <c r="E18" s="60" t="inlineStr">
        <is>
          <t>Function</t>
        </is>
      </c>
      <c r="F18" s="59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1" t="n"/>
      <c r="Z18" s="61" t="n"/>
    </row>
    <row r="19" ht="12.75" customHeight="1" s="150">
      <c r="A19" s="58" t="n"/>
      <c r="B19" s="58" t="n"/>
      <c r="C19" s="58" t="n"/>
      <c r="D19" s="59" t="inlineStr">
        <is>
          <t>Kiểm tra lọc theo trường [Không có] (Doesn't have) để loại trừ từ khóa</t>
        </is>
      </c>
      <c r="E19" s="60" t="inlineStr">
        <is>
          <t>Function</t>
        </is>
      </c>
      <c r="F19" s="59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1" t="n"/>
      <c r="Z19" s="61" t="n"/>
    </row>
    <row r="20" ht="12.75" customHeight="1" s="150">
      <c r="A20" s="58" t="n"/>
      <c r="B20" s="58" t="n"/>
      <c r="C20" s="58" t="n"/>
      <c r="D20" s="59" t="inlineStr">
        <is>
          <t>Kiểm tra lọc theo [Kích thước] (Size) - Lớn hơn X MB</t>
        </is>
      </c>
      <c r="E20" s="60" t="inlineStr">
        <is>
          <t>Function</t>
        </is>
      </c>
      <c r="F20" s="59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</row>
    <row r="21" ht="12.75" customHeight="1" s="150">
      <c r="A21" s="58" t="n"/>
      <c r="B21" s="58" t="n"/>
      <c r="C21" s="58" t="n"/>
      <c r="D21" s="59" t="inlineStr">
        <is>
          <t>Kiểm tra lọc theo [Kích thước] (Size) - Nhỏ hơn X MB</t>
        </is>
      </c>
      <c r="E21" s="60" t="inlineStr">
        <is>
          <t>Function</t>
        </is>
      </c>
      <c r="F21" s="59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1" t="n"/>
      <c r="Z21" s="61" t="n"/>
    </row>
    <row r="22" ht="12.75" customHeight="1" s="150">
      <c r="A22" s="58" t="n"/>
      <c r="B22" s="58" t="n"/>
      <c r="C22" s="58" t="n"/>
      <c r="D22" s="59" t="inlineStr">
        <is>
          <t>Kiểm tra lọc theo [Ngày trong khoảng] (Date within: 1 tuần)</t>
        </is>
      </c>
      <c r="E22" s="60" t="inlineStr">
        <is>
          <t>Function</t>
        </is>
      </c>
      <c r="F22" s="59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</row>
    <row r="23" ht="12.75" customHeight="1" s="150">
      <c r="A23" s="58" t="n"/>
      <c r="B23" s="58" t="n"/>
      <c r="C23" s="58" t="n"/>
      <c r="D23" s="59" t="inlineStr">
        <is>
          <t>Kiểm tra lọc khi tích chọn ô [Có tệp đính kèm] (Has attachment)</t>
        </is>
      </c>
      <c r="E23" s="60" t="inlineStr">
        <is>
          <t>Function</t>
        </is>
      </c>
      <c r="F23" s="59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61" t="n"/>
      <c r="X23" s="61" t="n"/>
      <c r="Y23" s="61" t="n"/>
      <c r="Z23" s="61" t="n"/>
    </row>
    <row r="24" ht="12.75" customHeight="1" s="150">
      <c r="A24" s="58" t="n"/>
      <c r="B24" s="58" t="n"/>
      <c r="C24" s="58" t="n"/>
      <c r="D24" s="59" t="inlineStr">
        <is>
          <t>Kiểm tra lọc theo phạm vi [Tìm kiếm] (Hộp thư đến, Thư đã gửi, v.v.)</t>
        </is>
      </c>
      <c r="E24" s="60" t="inlineStr">
        <is>
          <t>Function</t>
        </is>
      </c>
      <c r="F24" s="59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61" t="n"/>
      <c r="X24" s="61" t="n"/>
      <c r="Y24" s="61" t="n"/>
      <c r="Z24" s="61" t="n"/>
    </row>
    <row r="25" ht="12.75" customHeight="1" s="150">
      <c r="A25" s="62" t="n"/>
      <c r="B25" s="62" t="n"/>
      <c r="C25" s="62" t="inlineStr">
        <is>
          <t>Lọc kết hợp</t>
        </is>
      </c>
      <c r="D25" s="59" t="inlineStr">
        <is>
          <t>Kiểm tra tìm kiếm kết hợp trường [Từ] VÀ [Có tệp đính kèm]</t>
        </is>
      </c>
      <c r="E25" s="59" t="inlineStr">
        <is>
          <t>Function</t>
        </is>
      </c>
      <c r="F25" s="59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</row>
    <row r="26" ht="12.75" customHeight="1" s="150">
      <c r="A26" s="62" t="n"/>
      <c r="B26" s="62" t="n"/>
      <c r="C26" s="62" t="n"/>
      <c r="D26" s="59" t="inlineStr">
        <is>
          <t>Kiểm tra tìm kiếm kết hợp trường [Tiêu đề] VÀ [Ngày trong khoảng]</t>
        </is>
      </c>
      <c r="E26" s="59" t="inlineStr">
        <is>
          <t>Function</t>
        </is>
      </c>
      <c r="F26" s="59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</row>
    <row r="27" ht="12.75" customHeight="1" s="150">
      <c r="A27" s="62" t="n"/>
      <c r="B27" s="62" t="n"/>
      <c r="C27" s="62" t="n"/>
      <c r="D27" s="59" t="inlineStr">
        <is>
          <t>Kiểm tra tìm kiếm với các điều kiện mâu thuẫn nhau (Không có thư khớp)</t>
        </is>
      </c>
      <c r="E27" s="59" t="inlineStr">
        <is>
          <t>Function</t>
        </is>
      </c>
      <c r="F27" s="59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1" t="n"/>
      <c r="Z27" s="61" t="n"/>
    </row>
    <row r="28" ht="12.75" customHeight="1" s="150">
      <c r="A28" s="62" t="n"/>
      <c r="B28" s="62" t="n"/>
      <c r="C28" s="62" t="n"/>
      <c r="D28" s="59" t="inlineStr">
        <is>
          <t>Kiểm tra cú pháp toán tử tự động sinh ra trên thanh tìm kiếm sau khi bấm [Tìm kiếm]</t>
        </is>
      </c>
      <c r="E28" s="59" t="inlineStr">
        <is>
          <t>Function</t>
        </is>
      </c>
      <c r="F28" s="59" t="inlineStr">
        <is>
          <t>VD: from:(abc) has:attachment</t>
        </is>
      </c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</row>
    <row r="29" ht="12.75" customHeight="1" s="150">
      <c r="A29" s="62" t="n"/>
      <c r="B29" s="62" t="n"/>
      <c r="C29" s="63" t="n"/>
      <c r="D29" s="59" t="inlineStr">
        <is>
          <t>Kiểm tra nhấn nút [Tìm kiếm] khi để trống toàn bộ các trường trong biểu mẫu</t>
        </is>
      </c>
      <c r="E29" s="59" t="inlineStr">
        <is>
          <t>Function</t>
        </is>
      </c>
      <c r="F29" s="59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61" t="n"/>
      <c r="X29" s="61" t="n"/>
      <c r="Y29" s="61" t="n"/>
      <c r="Z29" s="61" t="n"/>
    </row>
    <row r="30" ht="12.75" customHeight="1" s="150">
      <c r="A30" s="62" t="n"/>
      <c r="B30" s="62" t="n"/>
      <c r="C30" s="58" t="n"/>
      <c r="D30" s="59" t="inlineStr">
        <is>
          <t>Kiểm tra lọc theo [Kích thước] khi nhập chữ hoặc ký tự không hợp lệ</t>
        </is>
      </c>
      <c r="E30" s="59" t="inlineStr">
        <is>
          <t>Function</t>
        </is>
      </c>
      <c r="F30" s="59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1" t="n"/>
      <c r="U30" s="61" t="n"/>
      <c r="V30" s="61" t="n"/>
      <c r="W30" s="61" t="n"/>
      <c r="X30" s="61" t="n"/>
      <c r="Y30" s="61" t="n"/>
      <c r="Z30" s="61" t="n"/>
    </row>
    <row r="31" ht="25.5" customHeight="1" s="150">
      <c r="A31" s="62" t="n"/>
      <c r="B31" s="62" t="n"/>
      <c r="C31" s="62" t="n"/>
      <c r="D31" s="59" t="inlineStr">
        <is>
          <t>Kiểm tra lọc kết hợp trường [Có các từ] VÀ [Không có]</t>
        </is>
      </c>
      <c r="E31" s="59" t="inlineStr">
        <is>
          <t>Function</t>
        </is>
      </c>
      <c r="F31" s="59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  <c r="S31" s="61" t="n"/>
      <c r="T31" s="61" t="n"/>
      <c r="U31" s="61" t="n"/>
      <c r="V31" s="61" t="n"/>
      <c r="W31" s="61" t="n"/>
      <c r="X31" s="61" t="n"/>
      <c r="Y31" s="61" t="n"/>
      <c r="Z31" s="61" t="n"/>
    </row>
    <row r="32" ht="12.75" customHeight="1" s="150">
      <c r="A32" s="62" t="inlineStr">
        <is>
          <t>3.2 Trả lời &amp; Chuyển tiếp</t>
        </is>
      </c>
      <c r="B32" s="62" t="inlineStr">
        <is>
          <t>3.2.1 Trả lời thư (Reply)</t>
        </is>
      </c>
      <c r="C32" s="62" t="inlineStr">
        <is>
          <t>Hiển thị giao diện</t>
        </is>
      </c>
      <c r="D32" s="59" t="inlineStr">
        <is>
          <t>Kiểm tra mở khung soạn thảo khi nhấn nút [Trả lời] (Reply) trong chi tiết thư</t>
        </is>
      </c>
      <c r="E32" s="59" t="inlineStr">
        <is>
          <t>GUI</t>
        </is>
      </c>
      <c r="F32" s="59" t="inlineStr">
        <is>
          <t>Tự động điền người gửi gốc vào ô [Đến]</t>
        </is>
      </c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1" t="n"/>
      <c r="V32" s="61" t="n"/>
      <c r="W32" s="61" t="n"/>
      <c r="X32" s="61" t="n"/>
      <c r="Y32" s="61" t="n"/>
      <c r="Z32" s="61" t="n"/>
    </row>
    <row r="33" ht="12.75" customHeight="1" s="150">
      <c r="A33" s="62" t="n"/>
      <c r="B33" s="62" t="n"/>
      <c r="C33" s="63" t="inlineStr">
        <is>
          <t>Gửi thư trả lời</t>
        </is>
      </c>
      <c r="D33" s="59" t="inlineStr">
        <is>
          <t>Kiểm tra gửi thư trả lời thành công với nội dung văn bản hợp lệ</t>
        </is>
      </c>
      <c r="E33" s="59" t="inlineStr">
        <is>
          <t>Function</t>
        </is>
      </c>
      <c r="F33" s="59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1" t="n"/>
      <c r="V33" s="61" t="n"/>
      <c r="W33" s="61" t="n"/>
      <c r="X33" s="61" t="n"/>
      <c r="Y33" s="61" t="n"/>
      <c r="Z33" s="61" t="n"/>
    </row>
    <row r="34" ht="12.75" customHeight="1" s="150">
      <c r="A34" s="62" t="n"/>
      <c r="B34" s="62" t="n"/>
      <c r="C34" s="58" t="n"/>
      <c r="D34" s="59" t="inlineStr">
        <is>
          <t>Kiểm tra gửi thư trả lời có thêm người nhận CC và BCC</t>
        </is>
      </c>
      <c r="E34" s="59" t="inlineStr">
        <is>
          <t>Function</t>
        </is>
      </c>
      <c r="F34" s="59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1" t="n"/>
      <c r="V34" s="61" t="n"/>
      <c r="W34" s="61" t="n"/>
      <c r="X34" s="61" t="n"/>
      <c r="Y34" s="61" t="n"/>
      <c r="Z34" s="61" t="n"/>
    </row>
    <row r="35" ht="12.75" customHeight="1" s="150">
      <c r="A35" s="62" t="n"/>
      <c r="B35" s="62" t="n"/>
      <c r="C35" s="62" t="n"/>
      <c r="D35" s="59" t="inlineStr">
        <is>
          <t>Kiểm tra gửi thư trả lời có đính kèm tệp tin từ máy tính</t>
        </is>
      </c>
      <c r="E35" s="59" t="inlineStr">
        <is>
          <t>Function</t>
        </is>
      </c>
      <c r="F35" s="59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1" t="n"/>
      <c r="V35" s="61" t="n"/>
      <c r="W35" s="61" t="n"/>
      <c r="X35" s="61" t="n"/>
      <c r="Y35" s="61" t="n"/>
      <c r="Z35" s="61" t="n"/>
    </row>
    <row r="36" ht="12.75" customHeight="1" s="150">
      <c r="A36" s="62" t="n"/>
      <c r="B36" s="62" t="n"/>
      <c r="C36" s="62" t="n"/>
      <c r="D36" s="59" t="inlineStr">
        <is>
          <t>Kiểm tra chỉnh sửa Tiêu đề thư (Edit subject) khi trả lời</t>
        </is>
      </c>
      <c r="E36" s="59" t="inlineStr">
        <is>
          <t>Function</t>
        </is>
      </c>
      <c r="F36" s="59" t="inlineStr">
        <is>
          <t>Tạo thành luồng hội thoại mới</t>
        </is>
      </c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1" t="n"/>
      <c r="V36" s="61" t="n"/>
      <c r="W36" s="61" t="n"/>
      <c r="X36" s="61" t="n"/>
      <c r="Y36" s="61" t="n"/>
      <c r="Z36" s="61" t="n"/>
    </row>
    <row r="37" ht="25.5" customHeight="1" s="150">
      <c r="A37" s="62" t="n"/>
      <c r="B37" s="63" t="n"/>
      <c r="C37" s="63" t="n"/>
      <c r="D37" s="59" t="inlineStr">
        <is>
          <t>Kiểm tra nhấn [Gửi] trả lời khi xóa trống người nhận ở ô [Đến]</t>
        </is>
      </c>
      <c r="E37" s="59" t="inlineStr">
        <is>
          <t>Function</t>
        </is>
      </c>
      <c r="F37" s="59" t="inlineStr">
        <is>
          <t>Hiển thị hộp thoại báo lỗi</t>
        </is>
      </c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1" t="n"/>
      <c r="V37" s="61" t="n"/>
      <c r="W37" s="61" t="n"/>
      <c r="X37" s="61" t="n"/>
      <c r="Y37" s="61" t="n"/>
      <c r="Z37" s="61" t="n"/>
    </row>
    <row r="38" ht="12.75" customHeight="1" s="150">
      <c r="A38" s="62" t="n"/>
      <c r="B38" s="58" t="n"/>
      <c r="C38" s="58" t="n"/>
      <c r="D38" s="59" t="inlineStr">
        <is>
          <t>Kiểm tra hủy thư nháp đang trả lời bằng nút [Hủy thư nháp] (Biểu tượng thùng rác)</t>
        </is>
      </c>
      <c r="E38" s="59" t="inlineStr">
        <is>
          <t>Function</t>
        </is>
      </c>
      <c r="F38" s="59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1" t="n"/>
      <c r="V38" s="61" t="n"/>
      <c r="W38" s="61" t="n"/>
      <c r="X38" s="61" t="n"/>
      <c r="Y38" s="61" t="n"/>
      <c r="Z38" s="61" t="n"/>
    </row>
    <row r="39" ht="12.75" customHeight="1" s="150">
      <c r="A39" s="62" t="n"/>
      <c r="B39" s="62" t="n"/>
      <c r="C39" s="62" t="n"/>
      <c r="D39" s="59" t="inlineStr">
        <is>
          <t>Kiểm tra gửi thư trả lời với nội dung rất dài (khoảng 5000 ký tự)</t>
        </is>
      </c>
      <c r="E39" s="59" t="inlineStr">
        <is>
          <t>Function</t>
        </is>
      </c>
      <c r="F39" s="59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1" t="n"/>
      <c r="V39" s="61" t="n"/>
      <c r="W39" s="61" t="n"/>
      <c r="X39" s="61" t="n"/>
      <c r="Y39" s="61" t="n"/>
      <c r="Z39" s="61" t="n"/>
    </row>
    <row r="40" ht="12.75" customHeight="1" s="150">
      <c r="A40" s="62" t="n"/>
      <c r="B40" s="62" t="n"/>
      <c r="C40" s="62" t="n"/>
      <c r="D40" s="59" t="inlineStr">
        <is>
          <t>Kiểm tra gửi thư trả lời có chèn liên kết (Insert link)</t>
        </is>
      </c>
      <c r="E40" s="59" t="inlineStr">
        <is>
          <t>Function</t>
        </is>
      </c>
      <c r="F40" s="59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1" t="n"/>
      <c r="V40" s="61" t="n"/>
      <c r="W40" s="61" t="n"/>
      <c r="X40" s="61" t="n"/>
      <c r="Y40" s="61" t="n"/>
      <c r="Z40" s="61" t="n"/>
    </row>
    <row r="41" ht="12.75" customHeight="1" s="150">
      <c r="A41" s="62" t="n"/>
      <c r="B41" s="63" t="inlineStr">
        <is>
          <t>3.2.2 Trả lời tất cả (Reply All)</t>
        </is>
      </c>
      <c r="C41" s="63" t="inlineStr">
        <is>
          <t>Hiển thị giao diện</t>
        </is>
      </c>
      <c r="D41" s="59" t="inlineStr">
        <is>
          <t>Kiểm tra mở khung [Trả lời tất cả] giữ nguyên toàn bộ người nhận gốc ở ô Đến và CC</t>
        </is>
      </c>
      <c r="E41" s="59" t="inlineStr">
        <is>
          <t>GUI</t>
        </is>
      </c>
      <c r="F41" s="59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1" t="n"/>
      <c r="V41" s="61" t="n"/>
      <c r="W41" s="61" t="n"/>
      <c r="X41" s="61" t="n"/>
      <c r="Y41" s="61" t="n"/>
      <c r="Z41" s="61" t="n"/>
    </row>
    <row r="42" ht="12.75" customHeight="1" s="150">
      <c r="A42" s="62" t="n"/>
      <c r="B42" s="58" t="n"/>
      <c r="C42" s="58" t="inlineStr">
        <is>
          <t>Gửi trả lời tất cả</t>
        </is>
      </c>
      <c r="D42" s="59" t="inlineStr">
        <is>
          <t>Kiểm tra gửi phản hồi [Trả lời tất cả] đến toàn bộ thành viên trong luồng thư</t>
        </is>
      </c>
      <c r="E42" s="59" t="inlineStr">
        <is>
          <t>Function</t>
        </is>
      </c>
      <c r="F42" s="59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1" t="n"/>
      <c r="V42" s="61" t="n"/>
      <c r="W42" s="61" t="n"/>
      <c r="X42" s="61" t="n"/>
      <c r="Y42" s="61" t="n"/>
      <c r="Z42" s="61" t="n"/>
    </row>
    <row r="43" ht="12.75" customHeight="1" s="150">
      <c r="A43" s="62" t="n"/>
      <c r="B43" s="62" t="n"/>
      <c r="C43" s="62" t="n"/>
      <c r="D43" s="59" t="inlineStr">
        <is>
          <t>Kiểm tra gửi [Trả lời tất cả] có thêm người nhận Bcc</t>
        </is>
      </c>
      <c r="E43" s="59" t="inlineStr">
        <is>
          <t>Function</t>
        </is>
      </c>
      <c r="F43" s="59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1" t="n"/>
      <c r="V43" s="61" t="n"/>
      <c r="W43" s="61" t="n"/>
      <c r="X43" s="61" t="n"/>
      <c r="Y43" s="61" t="n"/>
      <c r="Z43" s="61" t="n"/>
    </row>
    <row r="44" ht="12.75" customHeight="1" s="150">
      <c r="A44" s="62" t="n"/>
      <c r="B44" s="62" t="n"/>
      <c r="C44" s="62" t="n"/>
      <c r="D44" s="59" t="inlineStr">
        <is>
          <t>Kiểm tra gửi [Trả lời tất cả] có đính kèm tệp tin từ máy tính</t>
        </is>
      </c>
      <c r="E44" s="59" t="inlineStr">
        <is>
          <t>Function</t>
        </is>
      </c>
      <c r="F44" s="59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1" t="n"/>
      <c r="Z44" s="61" t="n"/>
    </row>
    <row r="45" ht="12.75" customHeight="1" s="150">
      <c r="A45" s="62" t="n"/>
      <c r="B45" s="62" t="n"/>
      <c r="C45" s="62" t="n"/>
      <c r="D45" s="59" t="inlineStr">
        <is>
          <t>Kiểm tra gỡ một người nhận khỏi ô [Cc] trước khi gửi [Trả lời tất cả]</t>
        </is>
      </c>
      <c r="E45" s="60" t="inlineStr">
        <is>
          <t>Function</t>
        </is>
      </c>
      <c r="F45" s="59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</row>
    <row r="46" ht="12.75" customHeight="1" s="150">
      <c r="A46" s="62" t="n"/>
      <c r="B46" s="62" t="n"/>
      <c r="C46" s="62" t="n"/>
      <c r="D46" s="59" t="inlineStr">
        <is>
          <t>Kiểm tra gửi [Trả lời tất cả] khi để trống nội dung thư</t>
        </is>
      </c>
      <c r="E46" s="60" t="inlineStr">
        <is>
          <t>Function</t>
        </is>
      </c>
      <c r="F46" s="59" t="inlineStr">
        <is>
          <t>Hiển thị hộp thoại cảnh báo</t>
        </is>
      </c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</row>
    <row r="47" ht="25.5" customHeight="1" s="150">
      <c r="A47" s="62" t="n"/>
      <c r="B47" s="62" t="inlineStr">
        <is>
          <t>3.2.3 Chuyển tiếp (Forward)</t>
        </is>
      </c>
      <c r="C47" s="62" t="inlineStr">
        <is>
          <t>Hiển thị giao diện</t>
        </is>
      </c>
      <c r="D47" s="59" t="inlineStr">
        <is>
          <t>Kiểm tra mở khung [Chuyển tiếp] giữ nguyên nội dung gốc và tệp đính kèm</t>
        </is>
      </c>
      <c r="E47" s="60" t="inlineStr">
        <is>
          <t>GUI</t>
        </is>
      </c>
      <c r="F47" s="59" t="inlineStr">
        <is>
          <t>Ô [Đến] mặc định để trống</t>
        </is>
      </c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1" t="n"/>
      <c r="W47" s="61" t="n"/>
      <c r="X47" s="61" t="n"/>
      <c r="Y47" s="61" t="n"/>
      <c r="Z47" s="61" t="n"/>
    </row>
    <row r="48" ht="12.75" customHeight="1" s="150">
      <c r="A48" s="62" t="n"/>
      <c r="B48" s="62" t="n"/>
      <c r="C48" s="62" t="inlineStr">
        <is>
          <t>Gửi chuyển tiếp</t>
        </is>
      </c>
      <c r="D48" s="59" t="inlineStr">
        <is>
          <t>Kiểm tra chuyển tiếp thư thành công đến 1 địa chỉ email hợp lệ</t>
        </is>
      </c>
      <c r="E48" s="60" t="inlineStr">
        <is>
          <t>Function</t>
        </is>
      </c>
      <c r="F48" s="59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1" t="n"/>
      <c r="V48" s="61" t="n"/>
      <c r="W48" s="61" t="n"/>
      <c r="X48" s="61" t="n"/>
      <c r="Y48" s="61" t="n"/>
      <c r="Z48" s="61" t="n"/>
    </row>
    <row r="49" ht="12.75" customHeight="1" s="150">
      <c r="A49" s="62" t="n"/>
      <c r="B49" s="62" t="n"/>
      <c r="C49" s="62" t="n"/>
      <c r="D49" s="59" t="inlineStr">
        <is>
          <t>Kiểm tra chuyển tiếp thư đến nhiều người nhận cùng lúc</t>
        </is>
      </c>
      <c r="E49" s="60" t="inlineStr">
        <is>
          <t>Function</t>
        </is>
      </c>
      <c r="F49" s="59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2.75" customHeight="1" s="150">
      <c r="A50" s="62" t="n"/>
      <c r="B50" s="62" t="n"/>
      <c r="C50" s="62" t="n"/>
      <c r="D50" s="59" t="inlineStr">
        <is>
          <t>Kiểm tra chuyển tiếp thư khi nhập địa chỉ email người nhận sai định dạng</t>
        </is>
      </c>
      <c r="E50" s="60" t="inlineStr">
        <is>
          <t>Function</t>
        </is>
      </c>
      <c r="F50" s="59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1" t="n"/>
      <c r="V50" s="61" t="n"/>
      <c r="W50" s="61" t="n"/>
      <c r="X50" s="61" t="n"/>
      <c r="Y50" s="61" t="n"/>
      <c r="Z50" s="61" t="n"/>
    </row>
    <row r="51" ht="12.75" customHeight="1" s="150">
      <c r="A51" s="62" t="n"/>
      <c r="B51" s="62" t="n"/>
      <c r="C51" s="62" t="n"/>
      <c r="D51" s="59" t="inlineStr">
        <is>
          <t>Kiểm tra nhấn [Gửi] chuyển tiếp khi bỏ trống ô người nhận [Đến]</t>
        </is>
      </c>
      <c r="E51" s="60" t="inlineStr">
        <is>
          <t>Function</t>
        </is>
      </c>
      <c r="F51" s="59" t="inlineStr">
        <is>
          <t>Hiển thị hộp thoại báo lỗi</t>
        </is>
      </c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1" t="n"/>
      <c r="V51" s="61" t="n"/>
      <c r="W51" s="61" t="n"/>
      <c r="X51" s="61" t="n"/>
      <c r="Y51" s="61" t="n"/>
      <c r="Z51" s="61" t="n"/>
    </row>
    <row r="52" ht="12.75" customHeight="1" s="150">
      <c r="A52" s="62" t="n"/>
      <c r="B52" s="62" t="n"/>
      <c r="C52" s="62" t="n"/>
      <c r="D52" s="59" t="inlineStr">
        <is>
          <t>Kiểm tra xóa tệp đính kèm gốc trước khi gửi chuyển tiếp thư</t>
        </is>
      </c>
      <c r="E52" s="60" t="inlineStr">
        <is>
          <t>Function</t>
        </is>
      </c>
      <c r="F52" s="59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1" t="n"/>
      <c r="V52" s="61" t="n"/>
      <c r="W52" s="61" t="n"/>
      <c r="X52" s="61" t="n"/>
      <c r="Y52" s="61" t="n"/>
      <c r="Z52" s="61" t="n"/>
    </row>
    <row r="53" ht="12.75" customHeight="1" s="150">
      <c r="A53" s="62" t="n"/>
      <c r="B53" s="62" t="n"/>
      <c r="C53" s="62" t="n"/>
      <c r="D53" s="59" t="inlineStr">
        <is>
          <t>Kiểm tra chuyển tiếp thư có thêm người nhận CC và BCC</t>
        </is>
      </c>
      <c r="E53" s="60" t="inlineStr">
        <is>
          <t>Function</t>
        </is>
      </c>
      <c r="F53" s="59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1" t="n"/>
      <c r="V53" s="61" t="n"/>
      <c r="W53" s="61" t="n"/>
      <c r="X53" s="61" t="n"/>
      <c r="Y53" s="61" t="n"/>
      <c r="Z53" s="61" t="n"/>
    </row>
    <row r="54" ht="12.75" customHeight="1" s="150">
      <c r="A54" s="62" t="n"/>
      <c r="B54" s="62" t="n"/>
      <c r="C54" s="62" t="n"/>
      <c r="D54" s="59" t="inlineStr">
        <is>
          <t>Kiểm tra chỉnh sửa nội dung thư trước khi gửi chuyển tiếp</t>
        </is>
      </c>
      <c r="E54" s="60" t="inlineStr">
        <is>
          <t>Function</t>
        </is>
      </c>
      <c r="F54" s="59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  <c r="Q54" s="61" t="n"/>
      <c r="R54" s="61" t="n"/>
      <c r="S54" s="61" t="n"/>
      <c r="T54" s="61" t="n"/>
      <c r="U54" s="61" t="n"/>
      <c r="V54" s="61" t="n"/>
      <c r="W54" s="61" t="n"/>
      <c r="X54" s="61" t="n"/>
      <c r="Y54" s="61" t="n"/>
      <c r="Z54" s="61" t="n"/>
    </row>
    <row r="55" ht="12.75" customHeight="1" s="150">
      <c r="A55" s="62" t="inlineStr">
        <is>
          <t>3.3 Quản lý Nhãn</t>
        </is>
      </c>
      <c r="B55" s="62" t="inlineStr">
        <is>
          <t>3.3.1 Tạo nhãn mới</t>
        </is>
      </c>
      <c r="C55" s="62" t="inlineStr">
        <is>
          <t>Hiển thị giao diện</t>
        </is>
      </c>
      <c r="D55" s="59" t="inlineStr">
        <is>
          <t>Kiểm tra mở hộp thoại [Nhãn mới] khi nhấn dấu [+] ở thanh menu bên trái</t>
        </is>
      </c>
      <c r="E55" s="60" t="inlineStr">
        <is>
          <t>GUI</t>
        </is>
      </c>
      <c r="F55" s="59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1" t="n"/>
      <c r="X55" s="61" t="n"/>
      <c r="Y55" s="61" t="n"/>
      <c r="Z55" s="61" t="n"/>
    </row>
    <row r="56" ht="12.75" customHeight="1" s="150">
      <c r="A56" s="62" t="n"/>
      <c r="B56" s="62" t="n"/>
      <c r="C56" s="62" t="inlineStr">
        <is>
          <t>Kiểm tra &amp; Lưu nhãn</t>
        </is>
      </c>
      <c r="D56" s="59" t="inlineStr">
        <is>
          <t>Kiểm tra tạo nhãn mới thành công với tên hợp lệ và không trùng lặp</t>
        </is>
      </c>
      <c r="E56" s="60" t="inlineStr">
        <is>
          <t>Function</t>
        </is>
      </c>
      <c r="F56" s="59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61" t="n"/>
      <c r="T56" s="61" t="n"/>
      <c r="U56" s="61" t="n"/>
      <c r="V56" s="61" t="n"/>
      <c r="W56" s="61" t="n"/>
      <c r="X56" s="61" t="n"/>
      <c r="Y56" s="61" t="n"/>
      <c r="Z56" s="61" t="n"/>
    </row>
    <row r="57" ht="12.75" customHeight="1" s="150">
      <c r="A57" s="62" t="n"/>
      <c r="B57" s="62" t="n"/>
      <c r="C57" s="62" t="n"/>
      <c r="D57" s="59" t="inlineStr">
        <is>
          <t>Kiểm tra tạo nhãn con lồng bên dưới một nhãn cha có sẵn</t>
        </is>
      </c>
      <c r="E57" s="60" t="inlineStr">
        <is>
          <t>Function</t>
        </is>
      </c>
      <c r="F57" s="59" t="inlineStr">
        <is>
          <t>Tích chọn [Đặt nhãn bên trong]</t>
        </is>
      </c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61" t="n"/>
      <c r="T57" s="61" t="n"/>
      <c r="U57" s="61" t="n"/>
      <c r="V57" s="61" t="n"/>
      <c r="W57" s="61" t="n"/>
      <c r="X57" s="61" t="n"/>
      <c r="Y57" s="61" t="n"/>
      <c r="Z57" s="61" t="n"/>
    </row>
    <row r="58" ht="12.75" customHeight="1" s="150">
      <c r="A58" s="62" t="n"/>
      <c r="B58" s="62" t="n"/>
      <c r="C58" s="62" t="n"/>
      <c r="D58" s="59" t="inlineStr">
        <is>
          <t>Kiểm tra tạo nhãn khi để trống tên nhãn</t>
        </is>
      </c>
      <c r="E58" s="59" t="inlineStr">
        <is>
          <t>Function</t>
        </is>
      </c>
      <c r="F58" s="59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61" t="n"/>
      <c r="Y58" s="61" t="n"/>
      <c r="Z58" s="61" t="n"/>
    </row>
    <row r="59" ht="12.75" customHeight="1" s="150">
      <c r="A59" s="62" t="n"/>
      <c r="B59" s="62" t="n"/>
      <c r="C59" s="63" t="n"/>
      <c r="D59" s="59" t="inlineStr">
        <is>
          <t>Kiểm tra tạo nhãn trùng tên với nhãn đã tồn tại</t>
        </is>
      </c>
      <c r="E59" s="59" t="inlineStr">
        <is>
          <t>Function</t>
        </is>
      </c>
      <c r="F59" s="59" t="inlineStr">
        <is>
          <t>Báo lỗi tên nhãn đã được sử dụng</t>
        </is>
      </c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61" t="n"/>
      <c r="Y59" s="61" t="n"/>
      <c r="Z59" s="61" t="n"/>
    </row>
    <row r="60" ht="15" customHeight="1" s="150">
      <c r="A60" s="62" t="n"/>
      <c r="B60" s="62" t="n"/>
      <c r="C60" s="58" t="n"/>
      <c r="D60" s="59" t="inlineStr">
        <is>
          <t>Kiểm tra hủy tạo nhãn khi nhấn nút [Hủy]</t>
        </is>
      </c>
      <c r="E60" s="59" t="inlineStr">
        <is>
          <t>Function</t>
        </is>
      </c>
      <c r="F60" s="59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61" t="n"/>
      <c r="U60" s="61" t="n"/>
      <c r="V60" s="61" t="n"/>
      <c r="W60" s="61" t="n"/>
      <c r="X60" s="61" t="n"/>
      <c r="Y60" s="61" t="n"/>
      <c r="Z60" s="61" t="n"/>
    </row>
    <row r="61" ht="12.75" customHeight="1" s="150">
      <c r="A61" s="62" t="n"/>
      <c r="B61" s="62" t="inlineStr">
        <is>
          <t>3.3.2 Chỉnh sửa nhãn</t>
        </is>
      </c>
      <c r="C61" s="62" t="inlineStr">
        <is>
          <t>Sửa tên &amp; Màu sắc</t>
        </is>
      </c>
      <c r="D61" s="59" t="inlineStr">
        <is>
          <t>Kiểm tra đổi tên một nhãn đang tồn tại</t>
        </is>
      </c>
      <c r="E61" s="59" t="inlineStr">
        <is>
          <t>Function</t>
        </is>
      </c>
      <c r="F61" s="59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61" t="n"/>
      <c r="T61" s="61" t="n"/>
      <c r="U61" s="61" t="n"/>
      <c r="V61" s="61" t="n"/>
      <c r="W61" s="61" t="n"/>
      <c r="X61" s="61" t="n"/>
      <c r="Y61" s="61" t="n"/>
      <c r="Z61" s="61" t="n"/>
    </row>
    <row r="62" ht="15" customHeight="1" s="150">
      <c r="A62" s="62" t="n"/>
      <c r="B62" s="62" t="n"/>
      <c r="C62" s="62" t="n"/>
      <c r="D62" s="59" t="inlineStr">
        <is>
          <t>Kiểm tra đổi màu sắc cho nhãn từ menu tùy chọn của nhãn</t>
        </is>
      </c>
      <c r="E62" s="59" t="inlineStr">
        <is>
          <t>GUI</t>
        </is>
      </c>
      <c r="F62" s="59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61" t="n"/>
      <c r="T62" s="61" t="n"/>
      <c r="U62" s="61" t="n"/>
      <c r="V62" s="61" t="n"/>
      <c r="W62" s="61" t="n"/>
      <c r="X62" s="61" t="n"/>
      <c r="Y62" s="61" t="n"/>
      <c r="Z62" s="61" t="n"/>
    </row>
    <row r="63" ht="15" customHeight="1" s="150">
      <c r="A63" s="62" t="n"/>
      <c r="B63" s="62" t="n"/>
      <c r="C63" s="62" t="n"/>
      <c r="D63" s="59" t="inlineStr">
        <is>
          <t>Kiểm tra thiết lập ẩn/hiện nhãn (Hiện / Ẩn / Hiện nếu có thư chưa đọc) ở danh sách bên trái</t>
        </is>
      </c>
      <c r="E63" s="59" t="inlineStr">
        <is>
          <t>Function</t>
        </is>
      </c>
      <c r="F63" s="59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61" t="n"/>
      <c r="U63" s="61" t="n"/>
      <c r="V63" s="61" t="n"/>
      <c r="W63" s="61" t="n"/>
      <c r="X63" s="61" t="n"/>
      <c r="Y63" s="61" t="n"/>
      <c r="Z63" s="61" t="n"/>
    </row>
    <row r="64" ht="25.5" customHeight="1" s="150">
      <c r="A64" s="62" t="n"/>
      <c r="B64" s="62" t="inlineStr">
        <is>
          <t>3.3.3 Gán &amp; Gỡ nhãn</t>
        </is>
      </c>
      <c r="C64" s="62" t="inlineStr">
        <is>
          <t>Áp dụng trên thư</t>
        </is>
      </c>
      <c r="D64" s="59" t="inlineStr">
        <is>
          <t>Kiểm tra gán 1 nhãn cho email thông qua nút [Nhãn] trên thanh công cụ</t>
        </is>
      </c>
      <c r="E64" s="59" t="inlineStr">
        <is>
          <t>Function</t>
        </is>
      </c>
      <c r="F64" s="59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61" t="n"/>
      <c r="U64" s="61" t="n"/>
      <c r="V64" s="61" t="n"/>
      <c r="W64" s="61" t="n"/>
      <c r="X64" s="61" t="n"/>
      <c r="Y64" s="61" t="n"/>
      <c r="Z64" s="61" t="n"/>
    </row>
    <row r="65" ht="12.75" customHeight="1" s="150">
      <c r="A65" s="62" t="n"/>
      <c r="B65" s="62" t="n"/>
      <c r="C65" s="62" t="n"/>
      <c r="D65" s="59" t="inlineStr">
        <is>
          <t>Kiểm tra gán nhiều nhãn cùng lúc cho 1 email</t>
        </is>
      </c>
      <c r="E65" s="59" t="inlineStr">
        <is>
          <t>Function</t>
        </is>
      </c>
      <c r="F65" s="59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61" t="n"/>
      <c r="U65" s="61" t="n"/>
      <c r="V65" s="61" t="n"/>
      <c r="W65" s="61" t="n"/>
      <c r="X65" s="61" t="n"/>
      <c r="Y65" s="61" t="n"/>
      <c r="Z65" s="61" t="n"/>
    </row>
    <row r="66" ht="12.75" customHeight="1" s="150">
      <c r="A66" s="62" t="n"/>
      <c r="B66" s="62" t="n"/>
      <c r="C66" s="62" t="n"/>
      <c r="D66" s="59" t="inlineStr">
        <is>
          <t>Kiểm tra gán nhãn hàng loạt cho nhiều email được tích chọn cùng lúc</t>
        </is>
      </c>
      <c r="E66" s="59" t="inlineStr">
        <is>
          <t>Function</t>
        </is>
      </c>
      <c r="F66" s="59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  <c r="Q66" s="61" t="n"/>
      <c r="R66" s="61" t="n"/>
      <c r="S66" s="61" t="n"/>
      <c r="T66" s="61" t="n"/>
      <c r="U66" s="61" t="n"/>
      <c r="V66" s="61" t="n"/>
      <c r="W66" s="61" t="n"/>
      <c r="X66" s="61" t="n"/>
      <c r="Y66" s="61" t="n"/>
      <c r="Z66" s="61" t="n"/>
    </row>
    <row r="67" ht="25.5" customHeight="1" s="150">
      <c r="A67" s="62" t="n"/>
      <c r="B67" s="62" t="n"/>
      <c r="C67" s="62" t="n"/>
      <c r="D67" s="59" t="inlineStr">
        <is>
          <t>Kiểm tra gỡ nhãn khỏi email bằng cách nhấn dấu [x] trên thẻ nhãn</t>
        </is>
      </c>
      <c r="E67" s="59" t="inlineStr">
        <is>
          <t>Function</t>
        </is>
      </c>
      <c r="F67" s="59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  <c r="Q67" s="61" t="n"/>
      <c r="R67" s="61" t="n"/>
      <c r="S67" s="61" t="n"/>
      <c r="T67" s="61" t="n"/>
      <c r="U67" s="61" t="n"/>
      <c r="V67" s="61" t="n"/>
      <c r="W67" s="61" t="n"/>
      <c r="X67" s="61" t="n"/>
      <c r="Y67" s="61" t="n"/>
      <c r="Z67" s="61" t="n"/>
    </row>
    <row r="68" ht="25.5" customHeight="1" s="150">
      <c r="A68" s="62" t="n"/>
      <c r="B68" s="62" t="n"/>
      <c r="C68" s="63" t="n"/>
      <c r="D68" s="59" t="inlineStr">
        <is>
          <t>Kiểm tra lọc danh sách thư theo nhãn khi nhấp vào tên nhãn ở menu trái</t>
        </is>
      </c>
      <c r="E68" s="59" t="inlineStr">
        <is>
          <t>Function</t>
        </is>
      </c>
      <c r="F68" s="59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  <c r="Q68" s="61" t="n"/>
      <c r="R68" s="61" t="n"/>
      <c r="S68" s="61" t="n"/>
      <c r="T68" s="61" t="n"/>
      <c r="U68" s="61" t="n"/>
      <c r="V68" s="61" t="n"/>
      <c r="W68" s="61" t="n"/>
      <c r="X68" s="61" t="n"/>
      <c r="Y68" s="61" t="n"/>
      <c r="Z68" s="61" t="n"/>
    </row>
    <row r="69" ht="12.75" customHeight="1" s="150">
      <c r="A69" s="62" t="n"/>
      <c r="B69" s="62" t="inlineStr">
        <is>
          <t>3.3.4 Xóa nhãn</t>
        </is>
      </c>
      <c r="C69" s="58" t="inlineStr">
        <is>
          <t>Xóa nhãn</t>
        </is>
      </c>
      <c r="D69" s="59" t="inlineStr">
        <is>
          <t>Kiểm tra xóa nhãn thành công khi nhấn xác nhận [Xóa]</t>
        </is>
      </c>
      <c r="E69" s="59" t="inlineStr">
        <is>
          <t>Function</t>
        </is>
      </c>
      <c r="F69" s="59" t="inlineStr">
        <is>
          <t>Không làm mất thư trong Hộp thư đến</t>
        </is>
      </c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61" t="n"/>
      <c r="T69" s="61" t="n"/>
      <c r="U69" s="61" t="n"/>
      <c r="V69" s="61" t="n"/>
      <c r="W69" s="61" t="n"/>
      <c r="X69" s="61" t="n"/>
      <c r="Y69" s="61" t="n"/>
      <c r="Z69" s="61" t="n"/>
    </row>
    <row r="70" ht="12.75" customHeight="1" s="150">
      <c r="A70" s="62" t="n"/>
      <c r="B70" s="62" t="n"/>
      <c r="C70" s="62" t="n"/>
      <c r="D70" s="59" t="inlineStr">
        <is>
          <t>Kiểm tra hủy thao tác xóa nhãn khi nhấn nút [Hủy]</t>
        </is>
      </c>
      <c r="E70" s="59" t="inlineStr">
        <is>
          <t>Function</t>
        </is>
      </c>
      <c r="F70" s="59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</row>
    <row r="71" ht="12.75" customHeight="1" s="150">
      <c r="A71" s="62" t="n"/>
      <c r="B71" s="62" t="inlineStr">
        <is>
          <t>3.3.5 Bổ sung nâng cao</t>
        </is>
      </c>
      <c r="C71" s="62" t="inlineStr">
        <is>
          <t>Tạo từ thanh công cụ</t>
        </is>
      </c>
      <c r="D71" s="59" t="inlineStr">
        <is>
          <t>Kiểm tra tạo nhãn mới trực tiếp từ thanh công cụ khi đang xem email</t>
        </is>
      </c>
      <c r="E71" s="59" t="inlineStr">
        <is>
          <t>Function</t>
        </is>
      </c>
      <c r="F71" s="59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</row>
    <row r="72" ht="12.75" customHeight="1" s="150">
      <c r="A72" s="62" t="n"/>
      <c r="B72" s="62" t="n"/>
      <c r="C72" s="62" t="inlineStr">
        <is>
          <t>Đa ngôn ngữ</t>
        </is>
      </c>
      <c r="D72" s="59" t="inlineStr">
        <is>
          <t>Kiểm tra tạo nhãn với tên chứa ký tự tiếng Việt có dấu và khoảng trắng</t>
        </is>
      </c>
      <c r="E72" s="59" t="inlineStr">
        <is>
          <t>Function</t>
        </is>
      </c>
      <c r="F72" s="59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</row>
    <row r="73" ht="12.75" customHeight="1" s="150">
      <c r="A73" s="62" t="n"/>
      <c r="B73" s="62" t="n"/>
      <c r="C73" s="62" t="inlineStr">
        <is>
          <t>Ký tự đặc biệt</t>
        </is>
      </c>
      <c r="D73" s="59" t="inlineStr">
        <is>
          <t>Kiểm tra tạo nhãn chứa ký tự đặc biệt hợp lệ và emoji</t>
        </is>
      </c>
      <c r="E73" s="59" t="inlineStr">
        <is>
          <t>Function</t>
        </is>
      </c>
      <c r="F73" s="59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</row>
    <row r="74" ht="12.75" customHeight="1" s="150">
      <c r="A74" s="62" t="n"/>
      <c r="B74" s="62" t="n"/>
      <c r="C74" s="62" t="inlineStr">
        <is>
          <t>Giới hạn độ dài</t>
        </is>
      </c>
      <c r="D74" s="59" t="inlineStr">
        <is>
          <t>Kiểm tra giới hạn độ dài tên nhãn (Boundary limit trên 225 ký tự)</t>
        </is>
      </c>
      <c r="E74" s="59" t="inlineStr">
        <is>
          <t>Function</t>
        </is>
      </c>
      <c r="F74" s="59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</row>
    <row r="75" ht="12.75" customHeight="1" s="150">
      <c r="A75" s="62" t="n"/>
      <c r="B75" s="62" t="n"/>
      <c r="C75" s="63" t="inlineStr">
        <is>
          <t>Cây phân cấp</t>
        </is>
      </c>
      <c r="D75" s="59" t="inlineStr">
        <is>
          <t>Kiểm tra tạo cấu trúc nhãn con lồng 3 cấp (Cha / Con / Cháu)</t>
        </is>
      </c>
      <c r="E75" s="59" t="inlineStr">
        <is>
          <t>Function</t>
        </is>
      </c>
      <c r="F75" s="59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</row>
    <row r="76" ht="12.75" customHeight="1" s="150">
      <c r="A76" s="62" t="n"/>
      <c r="B76" s="58" t="n"/>
      <c r="C76" s="58" t="inlineStr">
        <is>
          <t>Màu tùy chỉnh</t>
        </is>
      </c>
      <c r="D76" s="59" t="inlineStr">
        <is>
          <t>Kiểm tra đổi màu nhãn bằng cách tùy chỉnh màu (Add custom color)</t>
        </is>
      </c>
      <c r="E76" s="59" t="inlineStr">
        <is>
          <t>GUI</t>
        </is>
      </c>
      <c r="F76" s="59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</row>
    <row r="77" ht="12.75" customHeight="1" s="150">
      <c r="A77" s="62" t="n"/>
      <c r="B77" s="62" t="n"/>
      <c r="C77" s="62" t="inlineStr">
        <is>
          <t>Khôi phục màu</t>
        </is>
      </c>
      <c r="D77" s="59" t="inlineStr">
        <is>
          <t>Kiểm tra xóa màu sắc tùy chỉnh của nhãn (Khôi phục màu mặc định)</t>
        </is>
      </c>
      <c r="E77" s="59" t="inlineStr">
        <is>
          <t>Function</t>
        </is>
      </c>
      <c r="F77" s="59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</row>
    <row r="78" ht="12.75" customHeight="1" s="150">
      <c r="A78" s="62" t="n"/>
      <c r="B78" s="62" t="n"/>
      <c r="C78" s="62" t="inlineStr">
        <is>
          <t>Kéo thả</t>
        </is>
      </c>
      <c r="D78" s="59" t="inlineStr">
        <is>
          <t>Kiểm tra gán nhãn bằng thao tác Kéo - Thả (Drag and Drop)</t>
        </is>
      </c>
      <c r="E78" s="59" t="inlineStr">
        <is>
          <t>GUI</t>
        </is>
      </c>
      <c r="F78" s="59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</row>
    <row r="79" ht="12.75" customHeight="1" s="150">
      <c r="A79" s="62" t="n"/>
      <c r="B79" s="62" t="n"/>
      <c r="C79" s="62" t="inlineStr">
        <is>
          <t>Lưu trữ</t>
        </is>
      </c>
      <c r="D79" s="59" t="inlineStr">
        <is>
          <t>Kiểm tra chuyển email vào Nhãn bằng nút [Di chuyển tới] (Move to)</t>
        </is>
      </c>
      <c r="E79" s="60" t="inlineStr">
        <is>
          <t>Function</t>
        </is>
      </c>
      <c r="F79" s="59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</row>
    <row r="80" ht="12.75" customHeight="1" s="150">
      <c r="A80" s="62" t="n"/>
      <c r="B80" s="62" t="n"/>
      <c r="C80" s="62" t="inlineStr">
        <is>
          <t>Toán tử nhãn</t>
        </is>
      </c>
      <c r="D80" s="59" t="inlineStr">
        <is>
          <t>Kiểm tra tìm kiếm email theo cú pháp toán tử nhãn (label:)</t>
        </is>
      </c>
      <c r="E80" s="60" t="inlineStr">
        <is>
          <t>Function</t>
        </is>
      </c>
      <c r="F80" s="59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</row>
    <row r="81" ht="12.75" customHeight="1" s="150">
      <c r="A81" s="62" t="n"/>
      <c r="B81" s="62" t="n"/>
      <c r="C81" s="62" t="inlineStr">
        <is>
          <t>Xóa cha có con</t>
        </is>
      </c>
      <c r="D81" s="59" t="inlineStr">
        <is>
          <t>Kiểm tra xóa nhãn cha đang chứa nhãn con bên trong</t>
        </is>
      </c>
      <c r="E81" s="60" t="inlineStr">
        <is>
          <t>Function</t>
        </is>
      </c>
      <c r="F81" s="59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</row>
    <row r="82" ht="12.75" customHeight="1" s="150">
      <c r="A82" s="62" t="n"/>
      <c r="B82" s="62" t="n"/>
      <c r="C82" s="62" t="n"/>
      <c r="D82" s="59" t="n"/>
      <c r="E82" s="60" t="n"/>
      <c r="F82" s="59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</row>
    <row r="83" ht="12.75" customHeight="1" s="150">
      <c r="A83" s="62" t="n"/>
      <c r="B83" s="62" t="n"/>
      <c r="C83" s="62" t="n"/>
      <c r="D83" s="59" t="n"/>
      <c r="E83" s="60" t="n"/>
      <c r="F83" s="59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</row>
    <row r="84" ht="25.5" customHeight="1" s="150">
      <c r="A84" s="62" t="n"/>
      <c r="B84" s="62" t="n"/>
      <c r="C84" s="62" t="n"/>
      <c r="D84" s="59" t="n"/>
      <c r="E84" s="60" t="n"/>
      <c r="F84" s="59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</row>
    <row r="85" ht="25.5" customHeight="1" s="150">
      <c r="A85" s="62" t="n"/>
      <c r="B85" s="62" t="n"/>
      <c r="C85" s="62" t="n"/>
      <c r="D85" s="59" t="n"/>
      <c r="E85" s="60" t="n"/>
      <c r="F85" s="59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</row>
    <row r="86" ht="25.5" customHeight="1" s="150">
      <c r="A86" s="62" t="n"/>
      <c r="B86" s="62" t="n"/>
      <c r="C86" s="62" t="n"/>
      <c r="D86" s="59" t="n"/>
      <c r="E86" s="60" t="n"/>
      <c r="F86" s="59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</row>
    <row r="87" ht="12.75" customHeight="1" s="150">
      <c r="A87" s="62" t="n"/>
      <c r="B87" s="62" t="n"/>
      <c r="C87" s="62" t="n"/>
      <c r="D87" s="59" t="n"/>
      <c r="E87" s="60" t="n"/>
      <c r="F87" s="59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</row>
    <row r="88" ht="12.75" customHeight="1" s="150">
      <c r="A88" s="62" t="n"/>
      <c r="B88" s="62" t="n"/>
      <c r="C88" s="62" t="n"/>
      <c r="D88" s="59" t="n"/>
      <c r="E88" s="60" t="n"/>
      <c r="F88" s="59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</row>
    <row r="89" ht="12.75" customHeight="1" s="150">
      <c r="A89" s="62" t="n"/>
      <c r="B89" s="62" t="n"/>
      <c r="C89" s="62" t="n"/>
      <c r="D89" s="59" t="n"/>
      <c r="E89" s="60" t="n"/>
      <c r="F89" s="59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</row>
    <row r="90" ht="25.5" customHeight="1" s="150">
      <c r="A90" s="62" t="n"/>
      <c r="B90" s="62" t="n"/>
      <c r="C90" s="62" t="n"/>
      <c r="D90" s="59" t="n"/>
      <c r="E90" s="60" t="n"/>
      <c r="F90" s="59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</row>
    <row r="91" ht="12.75" customHeight="1" s="150">
      <c r="A91" s="62" t="n"/>
      <c r="B91" s="62" t="n"/>
      <c r="C91" s="62" t="n"/>
      <c r="D91" s="59" t="n"/>
      <c r="E91" s="60" t="n"/>
      <c r="F91" s="59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</row>
    <row r="92" ht="12.75" customHeight="1" s="150">
      <c r="A92" s="62" t="n"/>
      <c r="B92" s="62" t="n"/>
      <c r="C92" s="62" t="n"/>
      <c r="D92" s="59" t="n"/>
      <c r="E92" s="60" t="n"/>
      <c r="F92" s="59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</row>
    <row r="93" ht="12.75" customHeight="1" s="150">
      <c r="A93" s="62" t="n"/>
      <c r="B93" s="62" t="n"/>
      <c r="C93" s="62" t="n"/>
      <c r="D93" s="59" t="n"/>
      <c r="E93" s="60" t="n"/>
      <c r="F93" s="59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</row>
    <row r="94" ht="12.75" customHeight="1" s="150">
      <c r="A94" s="62" t="n"/>
      <c r="B94" s="62" t="n"/>
      <c r="C94" s="62" t="n"/>
      <c r="D94" s="59" t="n"/>
      <c r="E94" s="60" t="n"/>
      <c r="F94" s="59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</row>
    <row r="95" ht="12.75" customHeight="1" s="150">
      <c r="A95" s="62" t="n"/>
      <c r="B95" s="62" t="n"/>
      <c r="C95" s="62" t="n"/>
      <c r="D95" s="59" t="n"/>
      <c r="E95" s="60" t="n"/>
      <c r="F95" s="59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</row>
    <row r="96" ht="12.75" customHeight="1" s="150">
      <c r="A96" s="62" t="n"/>
      <c r="B96" s="62" t="n"/>
      <c r="C96" s="62" t="n"/>
      <c r="D96" s="59" t="n"/>
      <c r="E96" s="60" t="n"/>
      <c r="F96" s="59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</row>
    <row r="97" ht="12.75" customHeight="1" s="150">
      <c r="A97" s="62" t="n"/>
      <c r="B97" s="62" t="n"/>
      <c r="C97" s="62" t="n"/>
      <c r="D97" s="59" t="n"/>
      <c r="E97" s="60" t="n"/>
      <c r="F97" s="59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</row>
    <row r="98" ht="12.75" customHeight="1" s="150">
      <c r="A98" s="62" t="n"/>
      <c r="B98" s="62" t="n"/>
      <c r="C98" s="62" t="n"/>
      <c r="D98" s="59" t="n"/>
      <c r="E98" s="60" t="n"/>
      <c r="F98" s="59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</row>
    <row r="99" ht="12.75" customHeight="1" s="150">
      <c r="A99" s="62" t="n"/>
      <c r="B99" s="62" t="n"/>
      <c r="C99" s="62" t="n"/>
      <c r="D99" s="59" t="n"/>
      <c r="E99" s="60" t="n"/>
      <c r="F99" s="59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</row>
    <row r="100" ht="12.75" customHeight="1" s="150">
      <c r="A100" s="62" t="n"/>
      <c r="B100" s="62" t="n"/>
      <c r="C100" s="62" t="n"/>
      <c r="D100" s="59" t="n"/>
      <c r="E100" s="60" t="n"/>
      <c r="F100" s="59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</row>
    <row r="101" ht="25.5" customHeight="1" s="150">
      <c r="A101" s="62" t="n"/>
      <c r="B101" s="62" t="n"/>
      <c r="C101" s="62" t="n"/>
      <c r="D101" s="59" t="n"/>
      <c r="E101" s="60" t="n"/>
      <c r="F101" s="59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</row>
    <row r="102" ht="12.75" customHeight="1" s="150">
      <c r="A102" s="62" t="n"/>
      <c r="B102" s="62" t="n"/>
      <c r="C102" s="62" t="n"/>
      <c r="D102" s="59" t="n"/>
      <c r="E102" s="60" t="n"/>
      <c r="F102" s="59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</row>
    <row r="103" ht="12.75" customHeight="1" s="150">
      <c r="A103" s="62" t="n"/>
      <c r="B103" s="62" t="n"/>
      <c r="C103" s="62" t="n"/>
      <c r="D103" s="59" t="n"/>
      <c r="E103" s="60" t="n"/>
      <c r="F103" s="59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</row>
    <row r="104" ht="12.75" customHeight="1" s="150">
      <c r="A104" s="62" t="n"/>
      <c r="B104" s="62" t="n"/>
      <c r="C104" s="62" t="n"/>
      <c r="D104" s="59" t="n"/>
      <c r="E104" s="59" t="n"/>
      <c r="F104" s="59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</row>
    <row r="105" ht="12.75" customHeight="1" s="150">
      <c r="A105" s="62" t="n"/>
      <c r="B105" s="62" t="n"/>
      <c r="C105" s="63" t="n"/>
      <c r="D105" s="59" t="n"/>
      <c r="E105" s="59" t="n"/>
      <c r="F105" s="59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</row>
    <row r="106" ht="25.5" customHeight="1" s="150">
      <c r="A106" s="62" t="n"/>
      <c r="B106" s="62" t="n"/>
      <c r="C106" s="58" t="n"/>
      <c r="D106" s="59" t="n"/>
      <c r="E106" s="59" t="n"/>
      <c r="F106" s="59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</row>
    <row r="107" ht="15" customHeight="1" s="150">
      <c r="A107" s="62" t="n"/>
      <c r="B107" s="62" t="n"/>
      <c r="C107" s="62" t="n"/>
      <c r="D107" s="59" t="n"/>
      <c r="E107" s="59" t="n"/>
      <c r="F107" s="59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</row>
    <row r="108" ht="15" customHeight="1" s="150">
      <c r="A108" s="62" t="n"/>
      <c r="B108" s="62" t="n"/>
      <c r="C108" s="62" t="n"/>
      <c r="D108" s="59" t="n"/>
      <c r="E108" s="59" t="n"/>
      <c r="F108" s="59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</row>
    <row r="109" ht="15" customHeight="1" s="150">
      <c r="A109" s="62" t="n"/>
      <c r="B109" s="62" t="n"/>
      <c r="C109" s="62" t="n"/>
      <c r="D109" s="59" t="n"/>
      <c r="E109" s="59" t="n"/>
      <c r="F109" s="59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</row>
    <row r="110" ht="15" customHeight="1" s="150">
      <c r="A110" s="62" t="n"/>
      <c r="B110" s="62" t="n"/>
      <c r="C110" s="62" t="n"/>
      <c r="D110" s="59" t="n"/>
      <c r="E110" s="59" t="n"/>
      <c r="F110" s="59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</row>
    <row r="111" ht="15" customHeight="1" s="150">
      <c r="A111" s="62" t="n"/>
      <c r="B111" s="62" t="n"/>
      <c r="C111" s="62" t="n"/>
      <c r="D111" s="59" t="n"/>
      <c r="E111" s="59" t="n"/>
      <c r="F111" s="59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</row>
    <row r="112" ht="12.75" customHeight="1" s="150">
      <c r="A112" s="62" t="n"/>
      <c r="B112" s="62" t="n"/>
      <c r="C112" s="62" t="n"/>
      <c r="D112" s="59" t="n"/>
      <c r="E112" s="59" t="n"/>
      <c r="F112" s="59" t="n"/>
      <c r="G112" s="61" t="n"/>
      <c r="H112" s="61" t="n"/>
      <c r="I112" s="61" t="n"/>
      <c r="J112" s="61" t="n"/>
      <c r="K112" s="61" t="n"/>
      <c r="L112" s="61" t="n"/>
      <c r="M112" s="61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1" t="n"/>
      <c r="X112" s="61" t="n"/>
      <c r="Y112" s="61" t="n"/>
      <c r="Z112" s="61" t="n"/>
    </row>
    <row r="113" ht="15" customHeight="1" s="150">
      <c r="A113" s="62" t="n"/>
      <c r="B113" s="62" t="n"/>
      <c r="C113" s="62" t="n"/>
      <c r="D113" s="59" t="n"/>
      <c r="E113" s="59" t="n"/>
      <c r="F113" s="59" t="n"/>
      <c r="G113" s="61" t="n"/>
      <c r="H113" s="61" t="n"/>
      <c r="I113" s="61" t="n"/>
      <c r="J113" s="61" t="n"/>
      <c r="K113" s="61" t="n"/>
      <c r="L113" s="61" t="n"/>
      <c r="M113" s="61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1" t="n"/>
      <c r="X113" s="61" t="n"/>
      <c r="Y113" s="61" t="n"/>
      <c r="Z113" s="61" t="n"/>
    </row>
    <row r="114" ht="15" customHeight="1" s="150">
      <c r="A114" s="62" t="n"/>
      <c r="B114" s="62" t="n"/>
      <c r="C114" s="62" t="n"/>
      <c r="D114" s="59" t="n"/>
      <c r="E114" s="59" t="n"/>
      <c r="F114" s="59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1" t="n"/>
      <c r="X114" s="61" t="n"/>
      <c r="Y114" s="61" t="n"/>
      <c r="Z114" s="61" t="n"/>
    </row>
    <row r="115" ht="25.5" customHeight="1" s="150">
      <c r="A115" s="62" t="n"/>
      <c r="B115" s="62" t="n"/>
      <c r="C115" s="62" t="n"/>
      <c r="D115" s="59" t="n"/>
      <c r="E115" s="59" t="n"/>
      <c r="F115" s="59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1" t="n"/>
      <c r="X115" s="61" t="n"/>
      <c r="Y115" s="61" t="n"/>
      <c r="Z115" s="61" t="n"/>
    </row>
    <row r="116" ht="25.5" customHeight="1" s="150">
      <c r="A116" s="62" t="n"/>
      <c r="B116" s="62" t="n"/>
      <c r="C116" s="63" t="n"/>
      <c r="D116" s="59" t="n"/>
      <c r="E116" s="59" t="n"/>
      <c r="F116" s="59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1" t="n"/>
      <c r="X116" s="61" t="n"/>
      <c r="Y116" s="61" t="n"/>
      <c r="Z116" s="61" t="n"/>
    </row>
    <row r="117" ht="12.75" customHeight="1" s="150">
      <c r="A117" s="62" t="n"/>
      <c r="B117" s="62" t="n"/>
      <c r="C117" s="58" t="n"/>
      <c r="D117" s="59" t="n"/>
      <c r="E117" s="59" t="n"/>
      <c r="F117" s="59" t="n"/>
      <c r="G117" s="61" t="n"/>
      <c r="H117" s="61" t="n"/>
      <c r="I117" s="61" t="n"/>
      <c r="J117" s="61" t="n"/>
      <c r="K117" s="61" t="n"/>
      <c r="L117" s="61" t="n"/>
      <c r="M117" s="61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1" t="n"/>
      <c r="X117" s="61" t="n"/>
      <c r="Y117" s="61" t="n"/>
      <c r="Z117" s="61" t="n"/>
    </row>
    <row r="118" ht="15" customHeight="1" s="150">
      <c r="A118" s="62" t="n"/>
      <c r="B118" s="62" t="n"/>
      <c r="C118" s="62" t="n"/>
      <c r="D118" s="59" t="n"/>
      <c r="E118" s="59" t="n"/>
      <c r="F118" s="59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1" t="n"/>
      <c r="X118" s="61" t="n"/>
      <c r="Y118" s="61" t="n"/>
      <c r="Z118" s="61" t="n"/>
    </row>
    <row r="119" ht="15" customHeight="1" s="150">
      <c r="A119" s="62" t="n"/>
      <c r="B119" s="62" t="n"/>
      <c r="C119" s="62" t="n"/>
      <c r="D119" s="59" t="n"/>
      <c r="E119" s="59" t="n"/>
      <c r="F119" s="59" t="n"/>
      <c r="G119" s="61" t="n"/>
      <c r="H119" s="61" t="n"/>
      <c r="I119" s="61" t="n"/>
      <c r="J119" s="61" t="n"/>
      <c r="K119" s="61" t="n"/>
      <c r="L119" s="61" t="n"/>
      <c r="M119" s="61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1" t="n"/>
      <c r="X119" s="61" t="n"/>
      <c r="Y119" s="61" t="n"/>
      <c r="Z119" s="61" t="n"/>
    </row>
    <row r="120" ht="15" customHeight="1" s="150">
      <c r="A120" s="62" t="n"/>
      <c r="B120" s="62" t="n"/>
      <c r="C120" s="62" t="n"/>
      <c r="D120" s="59" t="n"/>
      <c r="E120" s="59" t="n"/>
      <c r="F120" s="59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1" t="n"/>
      <c r="X120" s="61" t="n"/>
      <c r="Y120" s="61" t="n"/>
      <c r="Z120" s="61" t="n"/>
    </row>
    <row r="121" ht="15" customHeight="1" s="150">
      <c r="A121" s="62" t="n"/>
      <c r="B121" s="62" t="n"/>
      <c r="C121" s="62" t="n"/>
      <c r="D121" s="59" t="n"/>
      <c r="E121" s="59" t="n"/>
      <c r="F121" s="59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1" t="n"/>
      <c r="X121" s="61" t="n"/>
      <c r="Y121" s="61" t="n"/>
      <c r="Z121" s="61" t="n"/>
    </row>
    <row r="122" ht="12.75" customHeight="1" s="150">
      <c r="A122" s="62" t="n"/>
      <c r="B122" s="62" t="n"/>
      <c r="C122" s="62" t="n"/>
      <c r="D122" s="59" t="n"/>
      <c r="E122" s="59" t="n"/>
      <c r="F122" s="59" t="n"/>
      <c r="G122" s="61" t="n"/>
      <c r="H122" s="61" t="n"/>
      <c r="I122" s="61" t="n"/>
      <c r="J122" s="61" t="n"/>
      <c r="K122" s="61" t="n"/>
      <c r="L122" s="61" t="n"/>
      <c r="M122" s="61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1" t="n"/>
      <c r="X122" s="61" t="n"/>
      <c r="Y122" s="61" t="n"/>
      <c r="Z122" s="61" t="n"/>
    </row>
    <row r="123" ht="12.75" customHeight="1" s="150">
      <c r="A123" s="62" t="n"/>
      <c r="B123" s="62" t="n"/>
      <c r="C123" s="62" t="n"/>
      <c r="D123" s="59" t="n"/>
      <c r="E123" s="59" t="n"/>
      <c r="F123" s="59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1" t="n"/>
      <c r="X123" s="61" t="n"/>
      <c r="Y123" s="61" t="n"/>
      <c r="Z123" s="61" t="n"/>
    </row>
    <row r="124" ht="12.75" customHeight="1" s="150">
      <c r="A124" s="62" t="n"/>
      <c r="B124" s="63" t="n"/>
      <c r="C124" s="63" t="n"/>
      <c r="D124" s="59" t="n"/>
      <c r="E124" s="59" t="n"/>
      <c r="F124" s="59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1" t="n"/>
      <c r="X124" s="61" t="n"/>
      <c r="Y124" s="61" t="n"/>
      <c r="Z124" s="61" t="n"/>
    </row>
    <row r="125" ht="12.75" customHeight="1" s="150">
      <c r="A125" s="62" t="n"/>
      <c r="B125" s="58" t="n"/>
      <c r="C125" s="58" t="n"/>
      <c r="D125" s="59" t="n"/>
      <c r="E125" s="59" t="n"/>
      <c r="F125" s="59" t="n"/>
      <c r="G125" s="61" t="n"/>
      <c r="H125" s="61" t="n"/>
      <c r="I125" s="61" t="n"/>
      <c r="J125" s="61" t="n"/>
      <c r="K125" s="61" t="n"/>
      <c r="L125" s="61" t="n"/>
      <c r="M125" s="61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1" t="n"/>
      <c r="X125" s="61" t="n"/>
      <c r="Y125" s="61" t="n"/>
      <c r="Z125" s="61" t="n"/>
    </row>
    <row r="126" ht="12.75" customHeight="1" s="150">
      <c r="A126" s="62" t="n"/>
      <c r="B126" s="62" t="n"/>
      <c r="C126" s="62" t="n"/>
      <c r="D126" s="59" t="n"/>
      <c r="E126" s="59" t="n"/>
      <c r="F126" s="59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1" t="n"/>
      <c r="X126" s="61" t="n"/>
      <c r="Y126" s="61" t="n"/>
      <c r="Z126" s="61" t="n"/>
    </row>
    <row r="127" ht="12.75" customHeight="1" s="150">
      <c r="A127" s="62" t="n"/>
      <c r="B127" s="62" t="n"/>
      <c r="C127" s="62" t="n"/>
      <c r="D127" s="59" t="n"/>
      <c r="E127" s="59" t="n"/>
      <c r="F127" s="59" t="n"/>
      <c r="G127" s="61" t="n"/>
      <c r="H127" s="61" t="n"/>
      <c r="I127" s="61" t="n"/>
      <c r="J127" s="61" t="n"/>
      <c r="K127" s="61" t="n"/>
      <c r="L127" s="61" t="n"/>
      <c r="M127" s="61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1" t="n"/>
      <c r="X127" s="61" t="n"/>
      <c r="Y127" s="61" t="n"/>
      <c r="Z127" s="61" t="n"/>
    </row>
    <row r="128" ht="12.75" customHeight="1" s="150">
      <c r="A128" s="62" t="n"/>
      <c r="B128" s="62" t="n"/>
      <c r="C128" s="62" t="n"/>
      <c r="D128" s="59" t="n"/>
      <c r="E128" s="59" t="n"/>
      <c r="F128" s="59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1" t="n"/>
      <c r="X128" s="61" t="n"/>
      <c r="Y128" s="61" t="n"/>
      <c r="Z128" s="61" t="n"/>
    </row>
    <row r="129" ht="12.75" customHeight="1" s="150">
      <c r="A129" s="62" t="n"/>
      <c r="B129" s="62" t="n"/>
      <c r="C129" s="62" t="n"/>
      <c r="D129" s="59" t="n"/>
      <c r="E129" s="60" t="n"/>
      <c r="F129" s="59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1" t="n"/>
      <c r="X129" s="61" t="n"/>
      <c r="Y129" s="61" t="n"/>
      <c r="Z129" s="61" t="n"/>
    </row>
    <row r="130" ht="12.75" customHeight="1" s="150">
      <c r="A130" s="62" t="n"/>
      <c r="B130" s="62" t="n"/>
      <c r="C130" s="62" t="n"/>
      <c r="D130" s="59" t="n"/>
      <c r="E130" s="60" t="n"/>
      <c r="F130" s="59" t="n"/>
      <c r="G130" s="61" t="n"/>
      <c r="H130" s="61" t="n"/>
      <c r="I130" s="61" t="n"/>
      <c r="J130" s="61" t="n"/>
      <c r="K130" s="61" t="n"/>
      <c r="L130" s="61" t="n"/>
      <c r="M130" s="61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1" t="n"/>
      <c r="X130" s="61" t="n"/>
      <c r="Y130" s="61" t="n"/>
      <c r="Z130" s="61" t="n"/>
    </row>
    <row r="131" ht="12.75" customHeight="1" s="150">
      <c r="A131" s="62" t="n"/>
      <c r="B131" s="62" t="n"/>
      <c r="C131" s="62" t="n"/>
      <c r="D131" s="59" t="n"/>
      <c r="E131" s="60" t="n"/>
      <c r="F131" s="59" t="n"/>
      <c r="G131" s="61" t="n"/>
      <c r="H131" s="61" t="n"/>
      <c r="I131" s="61" t="n"/>
      <c r="J131" s="61" t="n"/>
      <c r="K131" s="61" t="n"/>
      <c r="L131" s="61" t="n"/>
      <c r="M131" s="61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1" t="n"/>
      <c r="X131" s="61" t="n"/>
      <c r="Y131" s="61" t="n"/>
      <c r="Z131" s="61" t="n"/>
    </row>
    <row r="132" ht="12.75" customHeight="1" s="150">
      <c r="A132" s="62" t="n"/>
      <c r="B132" s="62" t="n"/>
      <c r="C132" s="62" t="n"/>
      <c r="D132" s="59" t="n"/>
      <c r="E132" s="60" t="n"/>
      <c r="F132" s="59" t="n"/>
      <c r="G132" s="61" t="n"/>
      <c r="H132" s="61" t="n"/>
      <c r="I132" s="61" t="n"/>
      <c r="J132" s="61" t="n"/>
      <c r="K132" s="61" t="n"/>
      <c r="L132" s="61" t="n"/>
      <c r="M132" s="61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1" t="n"/>
      <c r="X132" s="61" t="n"/>
      <c r="Y132" s="61" t="n"/>
      <c r="Z132" s="61" t="n"/>
    </row>
    <row r="133" ht="12.75" customHeight="1" s="150">
      <c r="A133" s="62" t="n"/>
      <c r="B133" s="62" t="n"/>
      <c r="C133" s="62" t="n"/>
      <c r="D133" s="59" t="n"/>
      <c r="E133" s="60" t="n"/>
      <c r="F133" s="59" t="n"/>
      <c r="G133" s="61" t="n"/>
      <c r="H133" s="61" t="n"/>
      <c r="I133" s="61" t="n"/>
      <c r="J133" s="61" t="n"/>
      <c r="K133" s="61" t="n"/>
      <c r="L133" s="61" t="n"/>
      <c r="M133" s="61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1" t="n"/>
      <c r="X133" s="61" t="n"/>
      <c r="Y133" s="61" t="n"/>
      <c r="Z133" s="61" t="n"/>
    </row>
    <row r="134" ht="12.75" customHeight="1" s="150">
      <c r="A134" s="62" t="n"/>
      <c r="B134" s="62" t="n"/>
      <c r="C134" s="62" t="n"/>
      <c r="D134" s="59" t="n"/>
      <c r="E134" s="60" t="n"/>
      <c r="F134" s="59" t="n"/>
      <c r="G134" s="61" t="n"/>
      <c r="H134" s="61" t="n"/>
      <c r="I134" s="61" t="n"/>
      <c r="J134" s="61" t="n"/>
      <c r="K134" s="61" t="n"/>
      <c r="L134" s="61" t="n"/>
      <c r="M134" s="61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1" t="n"/>
      <c r="X134" s="61" t="n"/>
      <c r="Y134" s="61" t="n"/>
      <c r="Z134" s="61" t="n"/>
    </row>
    <row r="135" ht="12.75" customHeight="1" s="150">
      <c r="A135" s="62" t="n"/>
      <c r="B135" s="62" t="n"/>
      <c r="C135" s="62" t="n"/>
      <c r="D135" s="59" t="n"/>
      <c r="E135" s="60" t="n"/>
      <c r="F135" s="59" t="n"/>
      <c r="G135" s="61" t="n"/>
      <c r="H135" s="61" t="n"/>
      <c r="I135" s="61" t="n"/>
      <c r="J135" s="61" t="n"/>
      <c r="K135" s="61" t="n"/>
      <c r="L135" s="61" t="n"/>
      <c r="M135" s="61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1" t="n"/>
      <c r="X135" s="61" t="n"/>
      <c r="Y135" s="61" t="n"/>
      <c r="Z135" s="61" t="n"/>
    </row>
    <row r="136" ht="12.75" customHeight="1" s="150">
      <c r="A136" s="62" t="n"/>
      <c r="B136" s="62" t="n"/>
      <c r="C136" s="62" t="n"/>
      <c r="D136" s="59" t="n"/>
      <c r="E136" s="60" t="n"/>
      <c r="F136" s="59" t="n"/>
      <c r="G136" s="61" t="n"/>
      <c r="H136" s="61" t="n"/>
      <c r="I136" s="61" t="n"/>
      <c r="J136" s="61" t="n"/>
      <c r="K136" s="61" t="n"/>
      <c r="L136" s="61" t="n"/>
      <c r="M136" s="61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1" t="n"/>
      <c r="X136" s="61" t="n"/>
      <c r="Y136" s="61" t="n"/>
      <c r="Z136" s="61" t="n"/>
    </row>
    <row r="137" ht="12.75" customHeight="1" s="150">
      <c r="A137" s="62" t="n"/>
      <c r="B137" s="62" t="n"/>
      <c r="C137" s="62" t="n"/>
      <c r="D137" s="59" t="n"/>
      <c r="E137" s="60" t="n"/>
      <c r="F137" s="59" t="n"/>
      <c r="G137" s="61" t="n"/>
      <c r="H137" s="61" t="n"/>
      <c r="I137" s="61" t="n"/>
      <c r="J137" s="61" t="n"/>
      <c r="K137" s="61" t="n"/>
      <c r="L137" s="61" t="n"/>
      <c r="M137" s="61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1" t="n"/>
      <c r="X137" s="61" t="n"/>
      <c r="Y137" s="61" t="n"/>
      <c r="Z137" s="61" t="n"/>
    </row>
    <row r="138" ht="12.75" customHeight="1" s="150">
      <c r="A138" s="62" t="n"/>
      <c r="B138" s="62" t="n"/>
      <c r="C138" s="62" t="n"/>
      <c r="D138" s="59" t="n"/>
      <c r="E138" s="60" t="n"/>
      <c r="F138" s="59" t="n"/>
      <c r="G138" s="61" t="n"/>
      <c r="H138" s="61" t="n"/>
      <c r="I138" s="61" t="n"/>
      <c r="J138" s="61" t="n"/>
      <c r="K138" s="61" t="n"/>
      <c r="L138" s="61" t="n"/>
      <c r="M138" s="61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1" t="n"/>
      <c r="X138" s="61" t="n"/>
      <c r="Y138" s="61" t="n"/>
      <c r="Z138" s="61" t="n"/>
    </row>
    <row r="139" ht="12.75" customHeight="1" s="150">
      <c r="A139" s="62" t="n"/>
      <c r="B139" s="62" t="n"/>
      <c r="C139" s="62" t="n"/>
      <c r="D139" s="59" t="n"/>
      <c r="E139" s="60" t="n"/>
      <c r="F139" s="59" t="n"/>
      <c r="G139" s="61" t="n"/>
      <c r="H139" s="61" t="n"/>
      <c r="I139" s="61" t="n"/>
      <c r="J139" s="61" t="n"/>
      <c r="K139" s="61" t="n"/>
      <c r="L139" s="61" t="n"/>
      <c r="M139" s="61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1" t="n"/>
      <c r="X139" s="61" t="n"/>
      <c r="Y139" s="61" t="n"/>
      <c r="Z139" s="61" t="n"/>
    </row>
    <row r="140" ht="12.75" customHeight="1" s="150">
      <c r="A140" s="62" t="n"/>
      <c r="B140" s="62" t="n"/>
      <c r="C140" s="62" t="n"/>
      <c r="D140" s="59" t="n"/>
      <c r="E140" s="60" t="n"/>
      <c r="F140" s="59" t="n"/>
      <c r="G140" s="61" t="n"/>
      <c r="H140" s="61" t="n"/>
      <c r="I140" s="61" t="n"/>
      <c r="J140" s="61" t="n"/>
      <c r="K140" s="61" t="n"/>
      <c r="L140" s="61" t="n"/>
      <c r="M140" s="61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1" t="n"/>
      <c r="X140" s="61" t="n"/>
      <c r="Y140" s="61" t="n"/>
      <c r="Z140" s="61" t="n"/>
    </row>
    <row r="141" ht="12.75" customHeight="1" s="150">
      <c r="A141" s="62" t="n"/>
      <c r="B141" s="62" t="n"/>
      <c r="C141" s="62" t="n"/>
      <c r="D141" s="59" t="n"/>
      <c r="E141" s="60" t="n"/>
      <c r="F141" s="59" t="n"/>
      <c r="G141" s="61" t="n"/>
      <c r="H141" s="61" t="n"/>
      <c r="I141" s="61" t="n"/>
      <c r="J141" s="61" t="n"/>
      <c r="K141" s="61" t="n"/>
      <c r="L141" s="61" t="n"/>
      <c r="M141" s="61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1" t="n"/>
      <c r="X141" s="61" t="n"/>
      <c r="Y141" s="61" t="n"/>
      <c r="Z141" s="61" t="n"/>
    </row>
    <row r="142" ht="12.75" customHeight="1" s="150">
      <c r="A142" s="62" t="n"/>
      <c r="B142" s="62" t="n"/>
      <c r="C142" s="62" t="n"/>
      <c r="D142" s="59" t="n"/>
      <c r="E142" s="60" t="n"/>
      <c r="F142" s="59" t="n"/>
      <c r="G142" s="61" t="n"/>
      <c r="H142" s="61" t="n"/>
      <c r="I142" s="61" t="n"/>
      <c r="J142" s="61" t="n"/>
      <c r="K142" s="61" t="n"/>
      <c r="L142" s="61" t="n"/>
      <c r="M142" s="61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1" t="n"/>
      <c r="X142" s="61" t="n"/>
      <c r="Y142" s="61" t="n"/>
      <c r="Z142" s="61" t="n"/>
    </row>
    <row r="143" ht="12.75" customHeight="1" s="150">
      <c r="A143" s="62" t="n"/>
      <c r="B143" s="62" t="n"/>
      <c r="C143" s="62" t="n"/>
      <c r="D143" s="59" t="n"/>
      <c r="E143" s="60" t="n"/>
      <c r="F143" s="59" t="n"/>
      <c r="G143" s="61" t="n"/>
      <c r="H143" s="61" t="n"/>
      <c r="I143" s="61" t="n"/>
      <c r="J143" s="61" t="n"/>
      <c r="K143" s="61" t="n"/>
      <c r="L143" s="61" t="n"/>
      <c r="M143" s="61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1" t="n"/>
      <c r="X143" s="61" t="n"/>
      <c r="Y143" s="61" t="n"/>
      <c r="Z143" s="61" t="n"/>
    </row>
    <row r="144" ht="12.75" customHeight="1" s="150">
      <c r="A144" s="62" t="n"/>
      <c r="B144" s="62" t="n"/>
      <c r="C144" s="62" t="n"/>
      <c r="D144" s="59" t="n"/>
      <c r="E144" s="60" t="n"/>
      <c r="F144" s="59" t="n"/>
      <c r="G144" s="61" t="n"/>
      <c r="H144" s="61" t="n"/>
      <c r="I144" s="61" t="n"/>
      <c r="J144" s="61" t="n"/>
      <c r="K144" s="61" t="n"/>
      <c r="L144" s="61" t="n"/>
      <c r="M144" s="61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1" t="n"/>
      <c r="X144" s="61" t="n"/>
      <c r="Y144" s="61" t="n"/>
      <c r="Z144" s="61" t="n"/>
    </row>
    <row r="145" ht="12.75" customHeight="1" s="150">
      <c r="A145" s="62" t="n"/>
      <c r="B145" s="62" t="n"/>
      <c r="C145" s="62" t="n"/>
      <c r="D145" s="59" t="n"/>
      <c r="E145" s="60" t="n"/>
      <c r="F145" s="59" t="n"/>
      <c r="G145" s="61" t="n"/>
      <c r="H145" s="61" t="n"/>
      <c r="I145" s="61" t="n"/>
      <c r="J145" s="61" t="n"/>
      <c r="K145" s="61" t="n"/>
      <c r="L145" s="61" t="n"/>
      <c r="M145" s="61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1" t="n"/>
      <c r="X145" s="61" t="n"/>
      <c r="Y145" s="61" t="n"/>
      <c r="Z145" s="61" t="n"/>
    </row>
    <row r="146" ht="12.75" customHeight="1" s="150">
      <c r="A146" s="62" t="n"/>
      <c r="B146" s="62" t="n"/>
      <c r="C146" s="62" t="n"/>
      <c r="D146" s="59" t="n"/>
      <c r="E146" s="60" t="n"/>
      <c r="F146" s="59" t="n"/>
      <c r="G146" s="61" t="n"/>
      <c r="H146" s="61" t="n"/>
      <c r="I146" s="61" t="n"/>
      <c r="J146" s="61" t="n"/>
      <c r="K146" s="61" t="n"/>
      <c r="L146" s="61" t="n"/>
      <c r="M146" s="61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1" t="n"/>
      <c r="X146" s="61" t="n"/>
      <c r="Y146" s="61" t="n"/>
      <c r="Z146" s="61" t="n"/>
    </row>
    <row r="147" ht="25.5" customHeight="1" s="150">
      <c r="A147" s="62" t="n"/>
      <c r="B147" s="62" t="n"/>
      <c r="C147" s="62" t="n"/>
      <c r="D147" s="59" t="n"/>
      <c r="E147" s="60" t="n"/>
      <c r="F147" s="59" t="n"/>
      <c r="G147" s="61" t="n"/>
      <c r="H147" s="61" t="n"/>
      <c r="I147" s="61" t="n"/>
      <c r="J147" s="61" t="n"/>
      <c r="K147" s="61" t="n"/>
      <c r="L147" s="61" t="n"/>
      <c r="M147" s="61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1" t="n"/>
      <c r="X147" s="61" t="n"/>
      <c r="Y147" s="61" t="n"/>
      <c r="Z147" s="61" t="n"/>
    </row>
    <row r="148" ht="12.75" customHeight="1" s="150">
      <c r="A148" s="62" t="n"/>
      <c r="B148" s="62" t="n"/>
      <c r="C148" s="62" t="n"/>
      <c r="D148" s="59" t="n"/>
      <c r="E148" s="60" t="n"/>
      <c r="F148" s="59" t="n"/>
      <c r="G148" s="61" t="n"/>
      <c r="H148" s="61" t="n"/>
      <c r="I148" s="61" t="n"/>
      <c r="J148" s="61" t="n"/>
      <c r="K148" s="61" t="n"/>
      <c r="L148" s="61" t="n"/>
      <c r="M148" s="61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1" t="n"/>
      <c r="X148" s="61" t="n"/>
      <c r="Y148" s="61" t="n"/>
      <c r="Z148" s="61" t="n"/>
    </row>
    <row r="149" ht="12.75" customHeight="1" s="150">
      <c r="A149" s="62" t="n"/>
      <c r="B149" s="62" t="n"/>
      <c r="C149" s="62" t="n"/>
      <c r="D149" s="59" t="n"/>
      <c r="E149" s="60" t="n"/>
      <c r="F149" s="59" t="n"/>
      <c r="G149" s="61" t="n"/>
      <c r="H149" s="61" t="n"/>
      <c r="I149" s="61" t="n"/>
      <c r="J149" s="61" t="n"/>
      <c r="K149" s="61" t="n"/>
      <c r="L149" s="61" t="n"/>
      <c r="M149" s="61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1" t="n"/>
      <c r="X149" s="61" t="n"/>
      <c r="Y149" s="61" t="n"/>
      <c r="Z149" s="61" t="n"/>
    </row>
    <row r="150" ht="12.75" customHeight="1" s="150">
      <c r="A150" s="62" t="n"/>
      <c r="B150" s="62" t="n"/>
      <c r="C150" s="62" t="n"/>
      <c r="D150" s="59" t="n"/>
      <c r="E150" s="60" t="n"/>
      <c r="F150" s="59" t="n"/>
      <c r="G150" s="61" t="n"/>
      <c r="H150" s="61" t="n"/>
      <c r="I150" s="61" t="n"/>
      <c r="J150" s="61" t="n"/>
      <c r="K150" s="61" t="n"/>
      <c r="L150" s="61" t="n"/>
      <c r="M150" s="61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1" t="n"/>
      <c r="X150" s="61" t="n"/>
      <c r="Y150" s="61" t="n"/>
      <c r="Z150" s="61" t="n"/>
    </row>
    <row r="151" ht="12.75" customHeight="1" s="150">
      <c r="A151" s="62" t="n"/>
      <c r="B151" s="62" t="n"/>
      <c r="C151" s="62" t="n"/>
      <c r="D151" s="59" t="n"/>
      <c r="E151" s="60" t="n"/>
      <c r="F151" s="59" t="n"/>
      <c r="G151" s="61" t="n"/>
      <c r="H151" s="61" t="n"/>
      <c r="I151" s="61" t="n"/>
      <c r="J151" s="61" t="n"/>
      <c r="K151" s="61" t="n"/>
      <c r="L151" s="61" t="n"/>
      <c r="M151" s="61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1" t="n"/>
      <c r="X151" s="61" t="n"/>
      <c r="Y151" s="61" t="n"/>
      <c r="Z151" s="61" t="n"/>
    </row>
    <row r="152" ht="38.25" customHeight="1" s="150">
      <c r="A152" s="62" t="n"/>
      <c r="B152" s="62" t="n"/>
      <c r="C152" s="62" t="n"/>
      <c r="D152" s="59" t="n"/>
      <c r="E152" s="60" t="n"/>
      <c r="F152" s="59" t="n"/>
      <c r="G152" s="61" t="n"/>
      <c r="H152" s="61" t="n"/>
      <c r="I152" s="61" t="n"/>
      <c r="J152" s="61" t="n"/>
      <c r="K152" s="61" t="n"/>
      <c r="L152" s="61" t="n"/>
      <c r="M152" s="61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1" t="n"/>
      <c r="X152" s="61" t="n"/>
      <c r="Y152" s="61" t="n"/>
      <c r="Z152" s="61" t="n"/>
    </row>
    <row r="153" ht="15" customHeight="1" s="150">
      <c r="A153" s="62" t="n"/>
      <c r="B153" s="62" t="n"/>
      <c r="C153" s="62" t="n"/>
      <c r="D153" s="59" t="n"/>
      <c r="E153" s="60" t="n"/>
      <c r="F153" s="59" t="n"/>
      <c r="G153" s="61" t="n"/>
      <c r="H153" s="61" t="n"/>
      <c r="I153" s="61" t="n"/>
      <c r="J153" s="61" t="n"/>
      <c r="K153" s="61" t="n"/>
      <c r="L153" s="61" t="n"/>
      <c r="M153" s="61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1" t="n"/>
      <c r="X153" s="61" t="n"/>
      <c r="Y153" s="61" t="n"/>
      <c r="Z153" s="61" t="n"/>
    </row>
    <row r="154" ht="15" customHeight="1" s="150">
      <c r="A154" s="62" t="n"/>
      <c r="B154" s="62" t="n"/>
      <c r="C154" s="62" t="n"/>
      <c r="D154" s="59" t="n"/>
      <c r="E154" s="59" t="n"/>
      <c r="F154" s="59" t="n"/>
      <c r="G154" s="61" t="n"/>
      <c r="H154" s="61" t="n"/>
      <c r="I154" s="61" t="n"/>
      <c r="J154" s="61" t="n"/>
      <c r="K154" s="61" t="n"/>
      <c r="L154" s="61" t="n"/>
      <c r="M154" s="61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1" t="n"/>
      <c r="X154" s="61" t="n"/>
      <c r="Y154" s="61" t="n"/>
      <c r="Z154" s="61" t="n"/>
    </row>
    <row r="155" ht="15" customHeight="1" s="150">
      <c r="A155" s="62" t="n"/>
      <c r="B155" s="62" t="n"/>
      <c r="C155" s="63" t="n"/>
      <c r="D155" s="59" t="n"/>
      <c r="E155" s="59" t="n"/>
      <c r="F155" s="59" t="n"/>
      <c r="G155" s="61" t="n"/>
      <c r="H155" s="61" t="n"/>
      <c r="I155" s="61" t="n"/>
      <c r="J155" s="61" t="n"/>
      <c r="K155" s="61" t="n"/>
      <c r="L155" s="61" t="n"/>
      <c r="M155" s="61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1" t="n"/>
      <c r="X155" s="61" t="n"/>
      <c r="Y155" s="61" t="n"/>
      <c r="Z155" s="61" t="n"/>
    </row>
    <row r="156" ht="15" customHeight="1" s="150">
      <c r="A156" s="62" t="n"/>
      <c r="B156" s="62" t="n"/>
      <c r="C156" s="58" t="n"/>
      <c r="D156" s="59" t="n"/>
      <c r="E156" s="59" t="n"/>
      <c r="F156" s="59" t="n"/>
      <c r="G156" s="61" t="n"/>
      <c r="H156" s="61" t="n"/>
      <c r="I156" s="61" t="n"/>
      <c r="J156" s="61" t="n"/>
      <c r="K156" s="61" t="n"/>
      <c r="L156" s="61" t="n"/>
      <c r="M156" s="61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1" t="n"/>
      <c r="X156" s="61" t="n"/>
      <c r="Y156" s="61" t="n"/>
      <c r="Z156" s="61" t="n"/>
    </row>
    <row r="157" ht="15" customHeight="1" s="150">
      <c r="A157" s="62" t="n"/>
      <c r="B157" s="62" t="n"/>
      <c r="C157" s="62" t="n"/>
      <c r="D157" s="59" t="n"/>
      <c r="E157" s="59" t="n"/>
      <c r="F157" s="59" t="n"/>
      <c r="G157" s="61" t="n"/>
      <c r="H157" s="61" t="n"/>
      <c r="I157" s="61" t="n"/>
      <c r="J157" s="61" t="n"/>
      <c r="K157" s="61" t="n"/>
      <c r="L157" s="61" t="n"/>
      <c r="M157" s="61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1" t="n"/>
      <c r="X157" s="61" t="n"/>
      <c r="Y157" s="61" t="n"/>
      <c r="Z157" s="61" t="n"/>
    </row>
    <row r="158" ht="25.5" customHeight="1" s="150">
      <c r="A158" s="62" t="n"/>
      <c r="B158" s="62" t="n"/>
      <c r="C158" s="62" t="n"/>
      <c r="D158" s="59" t="n"/>
      <c r="E158" s="59" t="n"/>
      <c r="F158" s="59" t="n"/>
      <c r="G158" s="61" t="n"/>
      <c r="H158" s="61" t="n"/>
      <c r="I158" s="61" t="n"/>
      <c r="J158" s="61" t="n"/>
      <c r="K158" s="61" t="n"/>
      <c r="L158" s="61" t="n"/>
      <c r="M158" s="61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1" t="n"/>
      <c r="X158" s="61" t="n"/>
      <c r="Y158" s="61" t="n"/>
      <c r="Z158" s="61" t="n"/>
    </row>
    <row r="159" ht="15" customHeight="1" s="150">
      <c r="A159" s="62" t="n"/>
      <c r="B159" s="62" t="n"/>
      <c r="C159" s="62" t="n"/>
      <c r="D159" s="59" t="n"/>
      <c r="E159" s="59" t="n"/>
      <c r="F159" s="59" t="n"/>
      <c r="G159" s="61" t="n"/>
      <c r="H159" s="61" t="n"/>
      <c r="I159" s="61" t="n"/>
      <c r="J159" s="61" t="n"/>
      <c r="K159" s="61" t="n"/>
      <c r="L159" s="61" t="n"/>
      <c r="M159" s="61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1" t="n"/>
      <c r="X159" s="61" t="n"/>
      <c r="Y159" s="61" t="n"/>
      <c r="Z159" s="61" t="n"/>
    </row>
    <row r="160" ht="15" customHeight="1" s="150">
      <c r="A160" s="62" t="n"/>
      <c r="B160" s="62" t="n"/>
      <c r="C160" s="62" t="n"/>
      <c r="D160" s="59" t="n"/>
      <c r="E160" s="59" t="n"/>
      <c r="F160" s="59" t="n"/>
      <c r="G160" s="61" t="n"/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1" t="n"/>
      <c r="X160" s="61" t="n"/>
      <c r="Y160" s="61" t="n"/>
      <c r="Z160" s="61" t="n"/>
    </row>
    <row r="161" ht="15" customHeight="1" s="150">
      <c r="A161" s="62" t="n"/>
      <c r="B161" s="62" t="n"/>
      <c r="C161" s="62" t="n"/>
      <c r="D161" s="59" t="n"/>
      <c r="E161" s="59" t="n"/>
      <c r="F161" s="59" t="n"/>
      <c r="G161" s="61" t="n"/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1" t="n"/>
      <c r="X161" s="61" t="n"/>
      <c r="Y161" s="61" t="n"/>
      <c r="Z161" s="61" t="n"/>
    </row>
    <row r="162" ht="15" customHeight="1" s="150">
      <c r="A162" s="62" t="n"/>
      <c r="B162" s="62" t="n"/>
      <c r="C162" s="62" t="n"/>
      <c r="D162" s="59" t="n"/>
      <c r="E162" s="59" t="n"/>
      <c r="F162" s="59" t="n"/>
      <c r="G162" s="61" t="n"/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1" t="n"/>
      <c r="X162" s="61" t="n"/>
      <c r="Y162" s="61" t="n"/>
      <c r="Z162" s="61" t="n"/>
    </row>
    <row r="163" ht="25.5" customHeight="1" s="150">
      <c r="A163" s="62" t="n"/>
      <c r="B163" s="62" t="n"/>
      <c r="C163" s="62" t="n"/>
      <c r="D163" s="59" t="n"/>
      <c r="E163" s="59" t="n"/>
      <c r="F163" s="59" t="n"/>
      <c r="G163" s="61" t="n"/>
      <c r="H163" s="61" t="n"/>
      <c r="I163" s="61" t="n"/>
      <c r="J163" s="61" t="n"/>
      <c r="K163" s="61" t="n"/>
      <c r="L163" s="61" t="n"/>
      <c r="M163" s="61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1" t="n"/>
      <c r="X163" s="61" t="n"/>
      <c r="Y163" s="61" t="n"/>
      <c r="Z163" s="61" t="n"/>
    </row>
    <row r="164" ht="25.5" customHeight="1" s="150">
      <c r="A164" s="62" t="n"/>
      <c r="B164" s="62" t="n"/>
      <c r="C164" s="62" t="n"/>
      <c r="D164" s="59" t="n"/>
      <c r="E164" s="59" t="n"/>
      <c r="F164" s="59" t="n"/>
      <c r="G164" s="61" t="n"/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1" t="n"/>
      <c r="X164" s="61" t="n"/>
      <c r="Y164" s="61" t="n"/>
      <c r="Z164" s="61" t="n"/>
    </row>
    <row r="165" ht="15" customHeight="1" s="150">
      <c r="A165" s="62" t="n"/>
      <c r="B165" s="62" t="n"/>
      <c r="C165" s="63" t="n"/>
      <c r="D165" s="59" t="n"/>
      <c r="E165" s="59" t="n"/>
      <c r="F165" s="59" t="n"/>
      <c r="G165" s="61" t="n"/>
      <c r="H165" s="61" t="n"/>
      <c r="I165" s="61" t="n"/>
      <c r="J165" s="61" t="n"/>
      <c r="K165" s="61" t="n"/>
      <c r="L165" s="61" t="n"/>
      <c r="M165" s="61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1" t="n"/>
      <c r="X165" s="61" t="n"/>
      <c r="Y165" s="61" t="n"/>
      <c r="Z165" s="61" t="n"/>
    </row>
    <row r="166" ht="15" customHeight="1" s="150">
      <c r="A166" s="62" t="n"/>
      <c r="B166" s="62" t="n"/>
      <c r="C166" s="58" t="n"/>
      <c r="D166" s="59" t="n"/>
      <c r="E166" s="59" t="n"/>
      <c r="F166" s="59" t="n"/>
      <c r="G166" s="61" t="n"/>
      <c r="H166" s="61" t="n"/>
      <c r="I166" s="61" t="n"/>
      <c r="J166" s="61" t="n"/>
      <c r="K166" s="61" t="n"/>
      <c r="L166" s="61" t="n"/>
      <c r="M166" s="61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1" t="n"/>
      <c r="X166" s="61" t="n"/>
      <c r="Y166" s="61" t="n"/>
      <c r="Z166" s="61" t="n"/>
    </row>
    <row r="167" ht="15" customHeight="1" s="150">
      <c r="A167" s="62" t="n"/>
      <c r="B167" s="62" t="n"/>
      <c r="C167" s="62" t="n"/>
      <c r="D167" s="59" t="n"/>
      <c r="E167" s="59" t="n"/>
      <c r="F167" s="59" t="n"/>
      <c r="G167" s="61" t="n"/>
      <c r="H167" s="61" t="n"/>
      <c r="I167" s="61" t="n"/>
      <c r="J167" s="61" t="n"/>
      <c r="K167" s="61" t="n"/>
      <c r="L167" s="61" t="n"/>
      <c r="M167" s="61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1" t="n"/>
      <c r="X167" s="61" t="n"/>
      <c r="Y167" s="61" t="n"/>
      <c r="Z167" s="61" t="n"/>
    </row>
    <row r="168" ht="15" customHeight="1" s="150">
      <c r="A168" s="62" t="n"/>
      <c r="B168" s="62" t="n"/>
      <c r="C168" s="62" t="n"/>
      <c r="D168" s="59" t="n"/>
      <c r="E168" s="59" t="n"/>
      <c r="F168" s="59" t="n"/>
      <c r="G168" s="61" t="n"/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1" t="n"/>
      <c r="X168" s="61" t="n"/>
      <c r="Y168" s="61" t="n"/>
      <c r="Z168" s="61" t="n"/>
    </row>
    <row r="169" ht="15" customHeight="1" s="150">
      <c r="A169" s="62" t="n"/>
      <c r="B169" s="62" t="n"/>
      <c r="C169" s="62" t="n"/>
      <c r="D169" s="59" t="n"/>
      <c r="E169" s="59" t="n"/>
      <c r="F169" s="59" t="n"/>
      <c r="G169" s="61" t="n"/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1" t="n"/>
      <c r="X169" s="61" t="n"/>
      <c r="Y169" s="61" t="n"/>
      <c r="Z169" s="61" t="n"/>
    </row>
    <row r="170" ht="15" customHeight="1" s="150">
      <c r="A170" s="62" t="n"/>
      <c r="B170" s="62" t="n"/>
      <c r="C170" s="62" t="n"/>
      <c r="D170" s="59" t="n"/>
      <c r="E170" s="59" t="n"/>
      <c r="F170" s="59" t="n"/>
      <c r="G170" s="61" t="n"/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1" t="n"/>
      <c r="X170" s="61" t="n"/>
      <c r="Y170" s="61" t="n"/>
      <c r="Z170" s="61" t="n"/>
    </row>
    <row r="171" ht="12.75" customHeight="1" s="150">
      <c r="A171" s="62" t="n"/>
      <c r="B171" s="62" t="n"/>
      <c r="C171" s="62" t="n"/>
      <c r="D171" s="59" t="n"/>
      <c r="E171" s="59" t="n"/>
      <c r="F171" s="59" t="n"/>
      <c r="G171" s="61" t="n"/>
      <c r="H171" s="61" t="n"/>
      <c r="I171" s="61" t="n"/>
      <c r="J171" s="61" t="n"/>
      <c r="K171" s="61" t="n"/>
      <c r="L171" s="61" t="n"/>
      <c r="M171" s="61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1" t="n"/>
      <c r="X171" s="61" t="n"/>
      <c r="Y171" s="61" t="n"/>
      <c r="Z171" s="61" t="n"/>
    </row>
    <row r="172" ht="25.5" customHeight="1" s="150">
      <c r="A172" s="62" t="n"/>
      <c r="B172" s="62" t="n"/>
      <c r="C172" s="62" t="n"/>
      <c r="D172" s="59" t="n"/>
      <c r="E172" s="59" t="n"/>
      <c r="F172" s="59" t="n"/>
      <c r="G172" s="61" t="n"/>
      <c r="H172" s="61" t="n"/>
      <c r="I172" s="61" t="n"/>
      <c r="J172" s="61" t="n"/>
      <c r="K172" s="61" t="n"/>
      <c r="L172" s="61" t="n"/>
      <c r="M172" s="61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1" t="n"/>
      <c r="X172" s="61" t="n"/>
      <c r="Y172" s="61" t="n"/>
      <c r="Z172" s="61" t="n"/>
    </row>
    <row r="173" ht="12.75" customHeight="1" s="150">
      <c r="A173" s="62" t="n"/>
      <c r="B173" s="58" t="n"/>
      <c r="C173" s="58" t="n"/>
      <c r="D173" s="59" t="n"/>
      <c r="E173" s="59" t="n"/>
      <c r="F173" s="59" t="n"/>
      <c r="G173" s="61" t="n"/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1" t="n"/>
      <c r="X173" s="61" t="n"/>
      <c r="Y173" s="61" t="n"/>
      <c r="Z173" s="61" t="n"/>
    </row>
    <row r="174" ht="12.75" customHeight="1" s="150">
      <c r="A174" s="62" t="n"/>
      <c r="B174" s="62" t="n"/>
      <c r="C174" s="62" t="n"/>
      <c r="D174" s="59" t="n"/>
      <c r="E174" s="59" t="n"/>
      <c r="F174" s="59" t="n"/>
      <c r="G174" s="61" t="n"/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1" t="n"/>
      <c r="X174" s="61" t="n"/>
      <c r="Y174" s="61" t="n"/>
      <c r="Z174" s="61" t="n"/>
    </row>
    <row r="175" ht="12.75" customHeight="1" s="150">
      <c r="A175" s="62" t="n"/>
      <c r="B175" s="62" t="n"/>
      <c r="C175" s="62" t="n"/>
      <c r="D175" s="59" t="n"/>
      <c r="E175" s="59" t="n"/>
      <c r="F175" s="59" t="n"/>
      <c r="G175" s="61" t="n"/>
      <c r="H175" s="61" t="n"/>
      <c r="I175" s="61" t="n"/>
      <c r="J175" s="61" t="n"/>
      <c r="K175" s="61" t="n"/>
      <c r="L175" s="61" t="n"/>
      <c r="M175" s="61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1" t="n"/>
      <c r="X175" s="61" t="n"/>
      <c r="Y175" s="61" t="n"/>
      <c r="Z175" s="61" t="n"/>
    </row>
    <row r="176" ht="12.75" customHeight="1" s="150">
      <c r="A176" s="62" t="n"/>
      <c r="B176" s="62" t="n"/>
      <c r="C176" s="62" t="n"/>
      <c r="D176" s="59" t="n"/>
      <c r="E176" s="59" t="n"/>
      <c r="F176" s="59" t="n"/>
      <c r="G176" s="61" t="n"/>
      <c r="H176" s="61" t="n"/>
      <c r="I176" s="61" t="n"/>
      <c r="J176" s="61" t="n"/>
      <c r="K176" s="61" t="n"/>
      <c r="L176" s="61" t="n"/>
      <c r="M176" s="61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1" t="n"/>
      <c r="X176" s="61" t="n"/>
      <c r="Y176" s="61" t="n"/>
      <c r="Z176" s="61" t="n"/>
    </row>
    <row r="177" ht="12.75" customHeight="1" s="150">
      <c r="A177" s="62" t="n"/>
      <c r="B177" s="62" t="n"/>
      <c r="C177" s="62" t="n"/>
      <c r="D177" s="59" t="n"/>
      <c r="E177" s="60" t="n"/>
      <c r="F177" s="59" t="n"/>
      <c r="G177" s="61" t="n"/>
      <c r="H177" s="61" t="n"/>
      <c r="I177" s="61" t="n"/>
      <c r="J177" s="61" t="n"/>
      <c r="K177" s="61" t="n"/>
      <c r="L177" s="61" t="n"/>
      <c r="M177" s="61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1" t="n"/>
      <c r="X177" s="61" t="n"/>
      <c r="Y177" s="61" t="n"/>
      <c r="Z177" s="61" t="n"/>
    </row>
    <row r="178" ht="12.75" customHeight="1" s="150">
      <c r="A178" s="62" t="n"/>
      <c r="B178" s="62" t="n"/>
      <c r="C178" s="62" t="n"/>
      <c r="D178" s="59" t="n"/>
      <c r="E178" s="60" t="n"/>
      <c r="F178" s="59" t="n"/>
      <c r="G178" s="61" t="n"/>
      <c r="H178" s="61" t="n"/>
      <c r="I178" s="61" t="n"/>
      <c r="J178" s="61" t="n"/>
      <c r="K178" s="61" t="n"/>
      <c r="L178" s="61" t="n"/>
      <c r="M178" s="61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1" t="n"/>
      <c r="X178" s="61" t="n"/>
      <c r="Y178" s="61" t="n"/>
      <c r="Z178" s="61" t="n"/>
    </row>
    <row r="179" ht="12.75" customHeight="1" s="150">
      <c r="A179" s="62" t="n"/>
      <c r="B179" s="62" t="n"/>
      <c r="C179" s="62" t="n"/>
      <c r="D179" s="59" t="n"/>
      <c r="E179" s="60" t="n"/>
      <c r="F179" s="59" t="n"/>
      <c r="G179" s="61" t="n"/>
      <c r="H179" s="61" t="n"/>
      <c r="I179" s="61" t="n"/>
      <c r="J179" s="61" t="n"/>
      <c r="K179" s="61" t="n"/>
      <c r="L179" s="61" t="n"/>
      <c r="M179" s="61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1" t="n"/>
      <c r="X179" s="61" t="n"/>
      <c r="Y179" s="61" t="n"/>
      <c r="Z179" s="61" t="n"/>
    </row>
    <row r="180" ht="12.75" customHeight="1" s="150">
      <c r="A180" s="62" t="n"/>
      <c r="B180" s="62" t="n"/>
      <c r="C180" s="62" t="n"/>
      <c r="D180" s="59" t="n"/>
      <c r="E180" s="60" t="n"/>
      <c r="F180" s="59" t="n"/>
      <c r="G180" s="61" t="n"/>
      <c r="H180" s="61" t="n"/>
      <c r="I180" s="61" t="n"/>
      <c r="J180" s="61" t="n"/>
      <c r="K180" s="61" t="n"/>
      <c r="L180" s="61" t="n"/>
      <c r="M180" s="61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1" t="n"/>
      <c r="X180" s="61" t="n"/>
      <c r="Y180" s="61" t="n"/>
      <c r="Z180" s="61" t="n"/>
    </row>
    <row r="181" ht="12.75" customHeight="1" s="150">
      <c r="A181" s="62" t="n"/>
      <c r="B181" s="62" t="n"/>
      <c r="C181" s="62" t="n"/>
      <c r="D181" s="59" t="n"/>
      <c r="E181" s="60" t="n"/>
      <c r="F181" s="59" t="n"/>
      <c r="G181" s="61" t="n"/>
      <c r="H181" s="61" t="n"/>
      <c r="I181" s="61" t="n"/>
      <c r="J181" s="61" t="n"/>
      <c r="K181" s="61" t="n"/>
      <c r="L181" s="61" t="n"/>
      <c r="M181" s="61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1" t="n"/>
      <c r="X181" s="61" t="n"/>
      <c r="Y181" s="61" t="n"/>
      <c r="Z181" s="61" t="n"/>
    </row>
    <row r="182" ht="12.75" customHeight="1" s="150">
      <c r="A182" s="62" t="n"/>
      <c r="B182" s="62" t="n"/>
      <c r="C182" s="62" t="n"/>
      <c r="D182" s="59" t="n"/>
      <c r="E182" s="60" t="n"/>
      <c r="F182" s="59" t="n"/>
      <c r="G182" s="61" t="n"/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1" t="n"/>
      <c r="X182" s="61" t="n"/>
      <c r="Y182" s="61" t="n"/>
      <c r="Z182" s="61" t="n"/>
    </row>
    <row r="183" ht="12.75" customHeight="1" s="150">
      <c r="A183" s="62" t="n"/>
      <c r="B183" s="62" t="n"/>
      <c r="C183" s="62" t="n"/>
      <c r="D183" s="59" t="n"/>
      <c r="E183" s="60" t="n"/>
      <c r="F183" s="59" t="n"/>
      <c r="G183" s="61" t="n"/>
      <c r="H183" s="61" t="n"/>
      <c r="I183" s="61" t="n"/>
      <c r="J183" s="61" t="n"/>
      <c r="K183" s="61" t="n"/>
      <c r="L183" s="61" t="n"/>
      <c r="M183" s="61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1" t="n"/>
      <c r="X183" s="61" t="n"/>
      <c r="Y183" s="61" t="n"/>
      <c r="Z183" s="61" t="n"/>
    </row>
    <row r="184" ht="12.75" customHeight="1" s="150">
      <c r="A184" s="62" t="n"/>
      <c r="B184" s="62" t="n"/>
      <c r="C184" s="62" t="n"/>
      <c r="D184" s="59" t="n"/>
      <c r="E184" s="60" t="n"/>
      <c r="F184" s="59" t="n"/>
      <c r="G184" s="61" t="n"/>
      <c r="H184" s="61" t="n"/>
      <c r="I184" s="61" t="n"/>
      <c r="J184" s="61" t="n"/>
      <c r="K184" s="61" t="n"/>
      <c r="L184" s="61" t="n"/>
      <c r="M184" s="61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1" t="n"/>
      <c r="X184" s="61" t="n"/>
      <c r="Y184" s="61" t="n"/>
      <c r="Z184" s="61" t="n"/>
    </row>
    <row r="185" ht="12.75" customHeight="1" s="150">
      <c r="A185" s="62" t="n"/>
      <c r="B185" s="62" t="n"/>
      <c r="C185" s="62" t="n"/>
      <c r="D185" s="59" t="n"/>
      <c r="E185" s="60" t="n"/>
      <c r="F185" s="59" t="n"/>
      <c r="G185" s="61" t="n"/>
      <c r="H185" s="61" t="n"/>
      <c r="I185" s="61" t="n"/>
      <c r="J185" s="61" t="n"/>
      <c r="K185" s="61" t="n"/>
      <c r="L185" s="61" t="n"/>
      <c r="M185" s="61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1" t="n"/>
      <c r="X185" s="61" t="n"/>
      <c r="Y185" s="61" t="n"/>
      <c r="Z185" s="61" t="n"/>
    </row>
    <row r="186" ht="12.75" customHeight="1" s="150">
      <c r="A186" s="62" t="n"/>
      <c r="B186" s="62" t="n"/>
      <c r="C186" s="62" t="n"/>
      <c r="D186" s="59" t="n"/>
      <c r="E186" s="60" t="n"/>
      <c r="F186" s="59" t="n"/>
      <c r="G186" s="61" t="n"/>
      <c r="H186" s="61" t="n"/>
      <c r="I186" s="61" t="n"/>
      <c r="J186" s="61" t="n"/>
      <c r="K186" s="61" t="n"/>
      <c r="L186" s="61" t="n"/>
      <c r="M186" s="61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1" t="n"/>
      <c r="X186" s="61" t="n"/>
      <c r="Y186" s="61" t="n"/>
      <c r="Z186" s="61" t="n"/>
    </row>
    <row r="187" ht="12.75" customHeight="1" s="150">
      <c r="A187" s="62" t="n"/>
      <c r="B187" s="62" t="n"/>
      <c r="C187" s="62" t="n"/>
      <c r="D187" s="59" t="n"/>
      <c r="E187" s="60" t="n"/>
      <c r="F187" s="59" t="n"/>
      <c r="G187" s="61" t="n"/>
      <c r="H187" s="61" t="n"/>
      <c r="I187" s="61" t="n"/>
      <c r="J187" s="61" t="n"/>
      <c r="K187" s="61" t="n"/>
      <c r="L187" s="61" t="n"/>
      <c r="M187" s="61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1" t="n"/>
      <c r="X187" s="61" t="n"/>
      <c r="Y187" s="61" t="n"/>
      <c r="Z187" s="61" t="n"/>
    </row>
    <row r="188" ht="12.75" customHeight="1" s="150">
      <c r="A188" s="62" t="n"/>
      <c r="B188" s="62" t="n"/>
      <c r="C188" s="62" t="n"/>
      <c r="D188" s="59" t="n"/>
      <c r="E188" s="60" t="n"/>
      <c r="F188" s="59" t="n"/>
      <c r="G188" s="61" t="n"/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1" t="n"/>
      <c r="X188" s="61" t="n"/>
      <c r="Y188" s="61" t="n"/>
      <c r="Z188" s="61" t="n"/>
    </row>
    <row r="189" ht="12.75" customHeight="1" s="150">
      <c r="A189" s="62" t="n"/>
      <c r="B189" s="62" t="n"/>
      <c r="C189" s="62" t="n"/>
      <c r="D189" s="59" t="n"/>
      <c r="E189" s="60" t="n"/>
      <c r="F189" s="59" t="n"/>
      <c r="G189" s="61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</row>
    <row r="190" ht="12.75" customHeight="1" s="150">
      <c r="A190" s="62" t="n"/>
      <c r="B190" s="62" t="n"/>
      <c r="C190" s="62" t="n"/>
      <c r="D190" s="59" t="n"/>
      <c r="E190" s="60" t="n"/>
      <c r="F190" s="59" t="n"/>
      <c r="G190" s="61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</row>
    <row r="191" ht="12.75" customHeight="1" s="150">
      <c r="A191" s="62" t="n"/>
      <c r="B191" s="62" t="n"/>
      <c r="C191" s="62" t="n"/>
      <c r="D191" s="59" t="n"/>
      <c r="E191" s="60" t="n"/>
      <c r="F191" s="59" t="n"/>
      <c r="G191" s="61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</row>
    <row r="192" ht="12.75" customHeight="1" s="150">
      <c r="A192" s="62" t="n"/>
      <c r="B192" s="62" t="n"/>
      <c r="C192" s="62" t="n"/>
      <c r="D192" s="59" t="n"/>
      <c r="E192" s="60" t="n"/>
      <c r="F192" s="59" t="n"/>
      <c r="G192" s="61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</row>
    <row r="193" ht="12.75" customHeight="1" s="150">
      <c r="A193" s="62" t="n"/>
      <c r="B193" s="62" t="n"/>
      <c r="C193" s="62" t="n"/>
      <c r="D193" s="59" t="n"/>
      <c r="E193" s="60" t="n"/>
      <c r="F193" s="59" t="n"/>
      <c r="G193" s="61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</row>
    <row r="194" ht="12.75" customHeight="1" s="150">
      <c r="A194" s="62" t="n"/>
      <c r="B194" s="62" t="n"/>
      <c r="C194" s="62" t="n"/>
      <c r="D194" s="59" t="n"/>
      <c r="E194" s="60" t="n"/>
      <c r="F194" s="59" t="n"/>
      <c r="G194" s="61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</row>
    <row r="195" ht="12.75" customHeight="1" s="150">
      <c r="A195" s="62" t="n"/>
      <c r="B195" s="62" t="n"/>
      <c r="C195" s="62" t="n"/>
      <c r="D195" s="59" t="n"/>
      <c r="E195" s="60" t="n"/>
      <c r="F195" s="59" t="n"/>
      <c r="G195" s="61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</row>
    <row r="196" ht="12.75" customHeight="1" s="150">
      <c r="A196" s="62" t="n"/>
      <c r="B196" s="62" t="n"/>
      <c r="C196" s="62" t="n"/>
      <c r="D196" s="59" t="n"/>
      <c r="E196" s="60" t="n"/>
      <c r="F196" s="59" t="n"/>
      <c r="G196" s="61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</row>
    <row r="197" ht="12.75" customHeight="1" s="150">
      <c r="A197" s="62" t="n"/>
      <c r="B197" s="62" t="n"/>
      <c r="C197" s="62" t="n"/>
      <c r="D197" s="59" t="n"/>
      <c r="E197" s="60" t="n"/>
      <c r="F197" s="59" t="n"/>
      <c r="G197" s="61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</row>
    <row r="198" ht="12.75" customHeight="1" s="150">
      <c r="A198" s="62" t="n"/>
      <c r="B198" s="62" t="n"/>
      <c r="C198" s="62" t="n"/>
      <c r="D198" s="59" t="n"/>
      <c r="E198" s="60" t="n"/>
      <c r="F198" s="59" t="n"/>
      <c r="G198" s="61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</row>
    <row r="199" ht="12.75" customHeight="1" s="150">
      <c r="A199" s="62" t="n"/>
      <c r="B199" s="62" t="n"/>
      <c r="C199" s="62" t="n"/>
      <c r="D199" s="59" t="n"/>
      <c r="E199" s="60" t="n"/>
      <c r="F199" s="59" t="n"/>
      <c r="G199" s="61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</row>
    <row r="200" ht="12.75" customHeight="1" s="150">
      <c r="A200" s="62" t="n"/>
      <c r="B200" s="62" t="n"/>
      <c r="C200" s="62" t="n"/>
      <c r="D200" s="59" t="n"/>
      <c r="E200" s="60" t="n"/>
      <c r="F200" s="59" t="n"/>
      <c r="G200" s="61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</row>
    <row r="201" ht="12.75" customHeight="1" s="150">
      <c r="A201" s="62" t="n"/>
      <c r="B201" s="62" t="n"/>
      <c r="C201" s="62" t="n"/>
      <c r="D201" s="59" t="n"/>
      <c r="E201" s="60" t="n"/>
      <c r="F201" s="59" t="n"/>
      <c r="G201" s="61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</row>
    <row r="202" ht="38.25" customHeight="1" s="150">
      <c r="A202" s="62" t="n"/>
      <c r="B202" s="62" t="n"/>
      <c r="C202" s="62" t="n"/>
      <c r="D202" s="59" t="n"/>
      <c r="E202" s="59" t="n"/>
      <c r="F202" s="59" t="n"/>
      <c r="G202" s="61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</row>
    <row r="203" ht="15" customHeight="1" s="150">
      <c r="A203" s="62" t="n"/>
      <c r="B203" s="62" t="n"/>
      <c r="C203" s="63" t="n"/>
      <c r="D203" s="59" t="n"/>
      <c r="E203" s="59" t="n"/>
      <c r="F203" s="59" t="n"/>
      <c r="G203" s="61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</row>
    <row r="204" ht="15" customHeight="1" s="150">
      <c r="A204" s="62" t="n"/>
      <c r="B204" s="62" t="n"/>
      <c r="C204" s="58" t="n"/>
      <c r="D204" s="59" t="n"/>
      <c r="E204" s="59" t="n"/>
      <c r="F204" s="59" t="n"/>
      <c r="G204" s="61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</row>
    <row r="205" ht="15" customHeight="1" s="150">
      <c r="A205" s="62" t="n"/>
      <c r="B205" s="62" t="n"/>
      <c r="C205" s="62" t="n"/>
      <c r="D205" s="59" t="n"/>
      <c r="E205" s="59" t="n"/>
      <c r="F205" s="59" t="n"/>
      <c r="G205" s="61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</row>
    <row r="206" ht="15" customHeight="1" s="150">
      <c r="A206" s="62" t="n"/>
      <c r="B206" s="62" t="n"/>
      <c r="C206" s="62" t="n"/>
      <c r="D206" s="59" t="n"/>
      <c r="E206" s="59" t="n"/>
      <c r="F206" s="59" t="n"/>
      <c r="G206" s="61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</row>
    <row r="207" ht="15" customHeight="1" s="150">
      <c r="A207" s="62" t="n"/>
      <c r="B207" s="62" t="n"/>
      <c r="C207" s="62" t="n"/>
      <c r="D207" s="59" t="n"/>
      <c r="E207" s="59" t="n"/>
      <c r="F207" s="59" t="n"/>
      <c r="G207" s="61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</row>
    <row r="208" ht="25.5" customHeight="1" s="150">
      <c r="A208" s="62" t="n"/>
      <c r="B208" s="62" t="n"/>
      <c r="C208" s="62" t="n"/>
      <c r="D208" s="59" t="n"/>
      <c r="E208" s="59" t="n"/>
      <c r="F208" s="59" t="n"/>
      <c r="G208" s="61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</row>
    <row r="209" ht="15" customHeight="1" s="150">
      <c r="A209" s="62" t="n"/>
      <c r="B209" s="62" t="n"/>
      <c r="C209" s="62" t="n"/>
      <c r="D209" s="59" t="n"/>
      <c r="E209" s="59" t="n"/>
      <c r="F209" s="59" t="n"/>
      <c r="G209" s="61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</row>
    <row r="210" ht="15" customHeight="1" s="150">
      <c r="A210" s="62" t="n"/>
      <c r="B210" s="62" t="n"/>
      <c r="C210" s="62" t="n"/>
      <c r="D210" s="59" t="n"/>
      <c r="E210" s="59" t="n"/>
      <c r="F210" s="59" t="n"/>
      <c r="G210" s="61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</row>
    <row r="211" ht="15" customHeight="1" s="150">
      <c r="A211" s="62" t="n"/>
      <c r="B211" s="62" t="n"/>
      <c r="C211" s="62" t="n"/>
      <c r="D211" s="59" t="n"/>
      <c r="E211" s="59" t="n"/>
      <c r="F211" s="59" t="n"/>
      <c r="G211" s="61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</row>
    <row r="212" ht="25.5" customHeight="1" s="150">
      <c r="A212" s="62" t="n"/>
      <c r="B212" s="62" t="n"/>
      <c r="C212" s="62" t="n"/>
      <c r="D212" s="59" t="n"/>
      <c r="E212" s="59" t="n"/>
      <c r="F212" s="59" t="n"/>
      <c r="G212" s="61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</row>
    <row r="213" ht="25.5" customHeight="1" s="150">
      <c r="A213" s="62" t="n"/>
      <c r="B213" s="62" t="n"/>
      <c r="C213" s="63" t="n"/>
      <c r="D213" s="59" t="n"/>
      <c r="E213" s="59" t="n"/>
      <c r="F213" s="59" t="n"/>
      <c r="G213" s="61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</row>
    <row r="214" ht="15" customHeight="1" s="150">
      <c r="A214" s="62" t="n"/>
      <c r="B214" s="62" t="n"/>
      <c r="C214" s="58" t="n"/>
      <c r="D214" s="59" t="n"/>
      <c r="E214" s="59" t="n"/>
      <c r="F214" s="59" t="n"/>
      <c r="G214" s="61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</row>
    <row r="215" ht="15" customHeight="1" s="150">
      <c r="A215" s="62" t="n"/>
      <c r="B215" s="62" t="n"/>
      <c r="C215" s="62" t="n"/>
      <c r="D215" s="59" t="n"/>
      <c r="E215" s="59" t="n"/>
      <c r="F215" s="59" t="n"/>
      <c r="G215" s="61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</row>
    <row r="216" ht="15" customHeight="1" s="150">
      <c r="A216" s="62" t="n"/>
      <c r="B216" s="62" t="n"/>
      <c r="C216" s="62" t="n"/>
      <c r="D216" s="59" t="n"/>
      <c r="E216" s="59" t="n"/>
      <c r="F216" s="59" t="n"/>
      <c r="G216" s="61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</row>
    <row r="217" ht="15" customHeight="1" s="150">
      <c r="A217" s="62" t="n"/>
      <c r="B217" s="62" t="n"/>
      <c r="C217" s="62" t="n"/>
      <c r="D217" s="59" t="n"/>
      <c r="E217" s="59" t="n"/>
      <c r="F217" s="59" t="n"/>
      <c r="G217" s="61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</row>
    <row r="218" ht="15" customHeight="1" s="150">
      <c r="A218" s="62" t="n"/>
      <c r="B218" s="62" t="n"/>
      <c r="C218" s="62" t="n"/>
      <c r="D218" s="59" t="n"/>
      <c r="E218" s="59" t="n"/>
      <c r="F218" s="59" t="n"/>
      <c r="G218" s="61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</row>
    <row r="219" ht="12.75" customHeight="1" s="150">
      <c r="A219" s="62" t="n"/>
      <c r="B219" s="62" t="n"/>
      <c r="C219" s="62" t="n"/>
      <c r="D219" s="59" t="n"/>
      <c r="E219" s="59" t="n"/>
      <c r="F219" s="59" t="n"/>
      <c r="G219" s="61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</row>
    <row r="220" ht="12.75" customHeight="1" s="150">
      <c r="A220" s="62" t="n"/>
      <c r="B220" s="62" t="n"/>
      <c r="C220" s="62" t="n"/>
      <c r="D220" s="59" t="n"/>
      <c r="E220" s="59" t="n"/>
      <c r="F220" s="59" t="n"/>
      <c r="G220" s="61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</row>
    <row r="221" ht="12.75" customHeight="1" s="150">
      <c r="A221" s="58" t="n"/>
      <c r="B221" s="58" t="n"/>
      <c r="C221" s="58" t="n"/>
      <c r="D221" s="59" t="n"/>
      <c r="E221" s="60" t="n"/>
      <c r="F221" s="59" t="n"/>
      <c r="G221" s="61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</row>
    <row r="222" ht="12.75" customHeight="1" s="150">
      <c r="A222" s="62" t="n"/>
      <c r="B222" s="62" t="n"/>
      <c r="C222" s="62" t="n"/>
      <c r="D222" s="59" t="n"/>
      <c r="E222" s="60" t="n"/>
      <c r="F222" s="59" t="n"/>
      <c r="G222" s="61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</row>
    <row r="223" ht="12.75" customHeight="1" s="150">
      <c r="A223" s="62" t="n"/>
      <c r="B223" s="62" t="n"/>
      <c r="C223" s="62" t="n"/>
      <c r="D223" s="59" t="n"/>
      <c r="E223" s="60" t="n"/>
      <c r="F223" s="59" t="n"/>
      <c r="G223" s="61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</row>
    <row r="224" ht="12.75" customHeight="1" s="150">
      <c r="A224" s="62" t="n"/>
      <c r="B224" s="62" t="n"/>
      <c r="C224" s="63" t="n"/>
      <c r="D224" s="59" t="n"/>
      <c r="E224" s="60" t="n"/>
      <c r="F224" s="59" t="n"/>
      <c r="G224" s="61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</row>
    <row r="225" ht="12.75" customHeight="1" s="150">
      <c r="A225" s="62" t="n"/>
      <c r="B225" s="62" t="n"/>
      <c r="C225" s="58" t="n"/>
      <c r="D225" s="59" t="n"/>
      <c r="E225" s="60" t="n"/>
      <c r="F225" s="59" t="n"/>
      <c r="G225" s="61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</row>
    <row r="226" ht="12.75" customHeight="1" s="150">
      <c r="A226" s="62" t="n"/>
      <c r="B226" s="62" t="n"/>
      <c r="C226" s="62" t="n"/>
      <c r="D226" s="59" t="n"/>
      <c r="E226" s="60" t="n"/>
      <c r="F226" s="59" t="n"/>
      <c r="G226" s="61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</row>
    <row r="227" ht="12.75" customHeight="1" s="150">
      <c r="A227" s="62" t="n"/>
      <c r="B227" s="62" t="n"/>
      <c r="C227" s="62" t="n"/>
      <c r="D227" s="59" t="n"/>
      <c r="E227" s="60" t="n"/>
      <c r="F227" s="59" t="n"/>
      <c r="G227" s="61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</row>
    <row r="228" ht="12.75" customHeight="1" s="150">
      <c r="A228" s="62" t="n"/>
      <c r="B228" s="62" t="n"/>
      <c r="C228" s="62" t="n"/>
      <c r="D228" s="59" t="n"/>
      <c r="E228" s="60" t="n"/>
      <c r="F228" s="59" t="n"/>
      <c r="G228" s="61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</row>
    <row r="229" ht="12.75" customHeight="1" s="150">
      <c r="A229" s="62" t="n"/>
      <c r="B229" s="62" t="n"/>
      <c r="C229" s="62" t="n"/>
      <c r="D229" s="59" t="n"/>
      <c r="E229" s="60" t="n"/>
      <c r="F229" s="59" t="n"/>
      <c r="G229" s="61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</row>
    <row r="230" ht="12.75" customHeight="1" s="150">
      <c r="A230" s="62" t="n"/>
      <c r="B230" s="62" t="n"/>
      <c r="C230" s="62" t="n"/>
      <c r="D230" s="59" t="n"/>
      <c r="E230" s="60" t="n"/>
      <c r="F230" s="59" t="n"/>
      <c r="G230" s="61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</row>
    <row r="231" ht="12.75" customHeight="1" s="150">
      <c r="A231" s="62" t="n"/>
      <c r="B231" s="62" t="n"/>
      <c r="C231" s="62" t="n"/>
      <c r="D231" s="59" t="n"/>
      <c r="E231" s="60" t="n"/>
      <c r="F231" s="59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</row>
    <row r="232" ht="12.75" customHeight="1" s="150">
      <c r="A232" s="62" t="n"/>
      <c r="B232" s="62" t="n"/>
      <c r="C232" s="63" t="n"/>
      <c r="D232" s="59" t="n"/>
      <c r="E232" s="60" t="n"/>
      <c r="F232" s="59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</row>
    <row r="233" ht="12.75" customHeight="1" s="150">
      <c r="A233" s="62" t="n"/>
      <c r="B233" s="62" t="n"/>
      <c r="C233" s="58" t="n"/>
      <c r="D233" s="59" t="n"/>
      <c r="E233" s="60" t="n"/>
      <c r="F233" s="59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</row>
    <row r="234" ht="12.75" customHeight="1" s="150">
      <c r="A234" s="62" t="n"/>
      <c r="B234" s="62" t="n"/>
      <c r="C234" s="62" t="n"/>
      <c r="D234" s="59" t="n"/>
      <c r="E234" s="60" t="n"/>
      <c r="F234" s="59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</row>
    <row r="235" ht="12.75" customHeight="1" s="150">
      <c r="A235" s="62" t="n"/>
      <c r="B235" s="62" t="n"/>
      <c r="C235" s="62" t="n"/>
      <c r="D235" s="59" t="n"/>
      <c r="E235" s="60" t="n"/>
      <c r="F235" s="59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</row>
    <row r="236" ht="12.75" customHeight="1" s="150">
      <c r="A236" s="62" t="n"/>
      <c r="B236" s="62" t="n"/>
      <c r="C236" s="62" t="n"/>
      <c r="D236" s="59" t="n"/>
      <c r="E236" s="60" t="n"/>
      <c r="F236" s="59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</row>
    <row r="237" ht="12.75" customHeight="1" s="150">
      <c r="A237" s="62" t="n"/>
      <c r="B237" s="62" t="n"/>
      <c r="C237" s="63" t="n"/>
      <c r="D237" s="59" t="n"/>
      <c r="E237" s="60" t="n"/>
      <c r="F237" s="59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</row>
    <row r="238" ht="12.75" customHeight="1" s="150">
      <c r="A238" s="62" t="n"/>
      <c r="B238" s="62" t="n"/>
      <c r="C238" s="58" t="n"/>
      <c r="D238" s="59" t="n"/>
      <c r="E238" s="60" t="n"/>
      <c r="F238" s="59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</row>
    <row r="239" ht="12.75" customHeight="1" s="150">
      <c r="A239" s="62" t="n"/>
      <c r="B239" s="62" t="n"/>
      <c r="C239" s="62" t="n"/>
      <c r="D239" s="59" t="n"/>
      <c r="E239" s="60" t="n"/>
      <c r="F239" s="59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</row>
    <row r="240" ht="12.75" customHeight="1" s="150">
      <c r="A240" s="62" t="n"/>
      <c r="B240" s="62" t="n"/>
      <c r="C240" s="62" t="n"/>
      <c r="D240" s="59" t="n"/>
      <c r="E240" s="60" t="n"/>
      <c r="F240" s="59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</row>
    <row r="241" ht="12.75" customHeight="1" s="150">
      <c r="A241" s="62" t="n"/>
      <c r="B241" s="62" t="n"/>
      <c r="C241" s="63" t="n"/>
      <c r="D241" s="59" t="n"/>
      <c r="E241" s="60" t="n"/>
      <c r="F241" s="59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</row>
    <row r="242" ht="12.75" customHeight="1" s="150">
      <c r="A242" s="62" t="n"/>
      <c r="B242" s="62" t="n"/>
      <c r="C242" s="58" t="n"/>
      <c r="D242" s="59" t="n"/>
      <c r="E242" s="60" t="n"/>
      <c r="F242" s="59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</row>
    <row r="243" ht="12.75" customHeight="1" s="150">
      <c r="A243" s="62" t="n"/>
      <c r="B243" s="62" t="n"/>
      <c r="C243" s="62" t="n"/>
      <c r="D243" s="59" t="n"/>
      <c r="E243" s="60" t="n"/>
      <c r="F243" s="59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</row>
    <row r="244" ht="12.75" customHeight="1" s="150">
      <c r="A244" s="62" t="n"/>
      <c r="B244" s="62" t="n"/>
      <c r="C244" s="63" t="n"/>
      <c r="D244" s="59" t="n"/>
      <c r="E244" s="60" t="n"/>
      <c r="F244" s="59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</row>
    <row r="245" ht="12.75" customHeight="1" s="150">
      <c r="A245" s="62" t="n"/>
      <c r="B245" s="62" t="n"/>
      <c r="C245" s="58" t="n"/>
      <c r="D245" s="59" t="n"/>
      <c r="E245" s="60" t="n"/>
      <c r="F245" s="59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</row>
    <row r="246" ht="12.75" customHeight="1" s="150">
      <c r="A246" s="62" t="n"/>
      <c r="B246" s="63" t="n"/>
      <c r="C246" s="63" t="n"/>
      <c r="D246" s="59" t="n"/>
      <c r="E246" s="60" t="n"/>
      <c r="F246" s="59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</row>
    <row r="247" ht="12.75" customHeight="1" s="150">
      <c r="A247" s="62" t="n"/>
      <c r="B247" s="58" t="n"/>
      <c r="C247" s="58" t="n"/>
      <c r="D247" s="59" t="n"/>
      <c r="E247" s="59" t="n"/>
      <c r="F247" s="59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</row>
    <row r="248" ht="12.75" customHeight="1" s="150">
      <c r="A248" s="62" t="n"/>
      <c r="B248" s="62" t="n"/>
      <c r="C248" s="62" t="n"/>
      <c r="D248" s="59" t="n"/>
      <c r="E248" s="59" t="n"/>
      <c r="F248" s="59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</row>
    <row r="249" ht="12.75" customHeight="1" s="150">
      <c r="A249" s="62" t="n"/>
      <c r="B249" s="62" t="n"/>
      <c r="C249" s="62" t="n"/>
      <c r="D249" s="59" t="n"/>
      <c r="E249" s="59" t="n"/>
      <c r="F249" s="59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</row>
    <row r="250" ht="25.5" customHeight="1" s="150">
      <c r="A250" s="62" t="n"/>
      <c r="B250" s="62" t="n"/>
      <c r="C250" s="62" t="n"/>
      <c r="D250" s="59" t="n"/>
      <c r="E250" s="59" t="n"/>
      <c r="F250" s="59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</row>
    <row r="251" ht="15" customHeight="1" s="150">
      <c r="A251" s="62" t="n"/>
      <c r="B251" s="62" t="n"/>
      <c r="C251" s="63" t="n"/>
      <c r="D251" s="59" t="n"/>
      <c r="E251" s="59" t="n"/>
      <c r="F251" s="59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</row>
    <row r="252" ht="15" customHeight="1" s="150">
      <c r="A252" s="62" t="n"/>
      <c r="B252" s="62" t="n"/>
      <c r="C252" s="58" t="n"/>
      <c r="D252" s="59" t="n"/>
      <c r="E252" s="59" t="n"/>
      <c r="F252" s="58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</row>
    <row r="253" ht="15" customHeight="1" s="150">
      <c r="A253" s="62" t="n"/>
      <c r="B253" s="62" t="n"/>
      <c r="C253" s="62" t="n"/>
      <c r="D253" s="59" t="n"/>
      <c r="E253" s="59" t="n"/>
      <c r="F253" s="62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</row>
    <row r="254" ht="15" customHeight="1" s="150">
      <c r="A254" s="62" t="n"/>
      <c r="B254" s="62" t="n"/>
      <c r="C254" s="62" t="n"/>
      <c r="D254" s="59" t="n"/>
      <c r="E254" s="59" t="n"/>
      <c r="F254" s="62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</row>
    <row r="255" ht="15" customHeight="1" s="150">
      <c r="A255" s="62" t="n"/>
      <c r="B255" s="62" t="n"/>
      <c r="C255" s="62" t="n"/>
      <c r="D255" s="59" t="n"/>
      <c r="E255" s="59" t="n"/>
      <c r="F255" s="62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</row>
    <row r="256" ht="25.5" customHeight="1" s="150">
      <c r="A256" s="62" t="n"/>
      <c r="B256" s="62" t="n"/>
      <c r="C256" s="62" t="n"/>
      <c r="D256" s="59" t="n"/>
      <c r="E256" s="59" t="n"/>
      <c r="F256" s="62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</row>
    <row r="257" ht="15" customHeight="1" s="150">
      <c r="A257" s="62" t="n"/>
      <c r="B257" s="62" t="n"/>
      <c r="C257" s="63" t="n"/>
      <c r="D257" s="59" t="n"/>
      <c r="E257" s="59" t="n"/>
      <c r="F257" s="63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</row>
    <row r="258" ht="15" customHeight="1" s="150">
      <c r="A258" s="62" t="n"/>
      <c r="B258" s="62" t="n"/>
      <c r="C258" s="60" t="n"/>
      <c r="D258" s="59" t="n"/>
      <c r="E258" s="59" t="n"/>
      <c r="F258" s="59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</row>
    <row r="259" ht="15" customHeight="1" s="150">
      <c r="A259" s="62" t="n"/>
      <c r="B259" s="62" t="n"/>
      <c r="C259" s="58" t="n"/>
      <c r="D259" s="59" t="n"/>
      <c r="E259" s="59" t="n"/>
      <c r="F259" s="59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</row>
    <row r="260" ht="25.5" customHeight="1" s="150">
      <c r="A260" s="62" t="n"/>
      <c r="B260" s="62" t="n"/>
      <c r="C260" s="63" t="n"/>
      <c r="D260" s="59" t="n"/>
      <c r="E260" s="59" t="n"/>
      <c r="F260" s="59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</row>
    <row r="261" ht="25.5" customHeight="1" s="150">
      <c r="A261" s="62" t="n"/>
      <c r="B261" s="62" t="n"/>
      <c r="C261" s="58" t="n"/>
      <c r="D261" s="64" t="n"/>
      <c r="E261" s="59" t="n"/>
      <c r="F261" s="59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</row>
    <row r="262" ht="15" customHeight="1" s="150">
      <c r="A262" s="62" t="n"/>
      <c r="B262" s="62" t="n"/>
      <c r="C262" s="62" t="n"/>
      <c r="D262" s="64" t="n"/>
      <c r="E262" s="59" t="n"/>
      <c r="F262" s="59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</row>
    <row r="263" ht="15" customHeight="1" s="150">
      <c r="A263" s="62" t="n"/>
      <c r="B263" s="62" t="n"/>
      <c r="C263" s="63" t="n"/>
      <c r="D263" s="59" t="n"/>
      <c r="E263" s="59" t="n"/>
      <c r="F263" s="59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</row>
    <row r="264" ht="15" customHeight="1" s="150">
      <c r="A264" s="62" t="n"/>
      <c r="B264" s="62" t="n"/>
      <c r="C264" s="58" t="n"/>
      <c r="D264" s="64" t="n"/>
      <c r="E264" s="59" t="n"/>
      <c r="F264" s="59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</row>
    <row r="265" ht="15" customHeight="1" s="150">
      <c r="A265" s="62" t="n"/>
      <c r="B265" s="62" t="n"/>
      <c r="C265" s="62" t="n"/>
      <c r="D265" s="64" t="n"/>
      <c r="E265" s="59" t="n"/>
      <c r="F265" s="59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</row>
    <row r="266" ht="15" customHeight="1" s="150">
      <c r="A266" s="62" t="n"/>
      <c r="B266" s="62" t="n"/>
      <c r="C266" s="63" t="n"/>
      <c r="D266" s="59" t="n"/>
      <c r="E266" s="59" t="n"/>
      <c r="F266" s="59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</row>
    <row r="267" ht="25.5" customHeight="1" s="150">
      <c r="A267" s="62" t="n"/>
      <c r="B267" s="62" t="n"/>
      <c r="C267" s="58" t="n"/>
      <c r="D267" s="59" t="n"/>
      <c r="E267" s="59" t="n"/>
      <c r="F267" s="59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</row>
    <row r="268" ht="12.75" customHeight="1" s="150">
      <c r="A268" s="62" t="n"/>
      <c r="B268" s="62" t="n"/>
      <c r="C268" s="62" t="n"/>
      <c r="D268" s="59" t="n"/>
      <c r="E268" s="59" t="n"/>
      <c r="F268" s="59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</row>
    <row r="269" ht="15" customHeight="1" s="150">
      <c r="A269" s="62" t="n"/>
      <c r="B269" s="62" t="n"/>
      <c r="C269" s="62" t="n"/>
      <c r="D269" s="59" t="n"/>
      <c r="E269" s="59" t="n"/>
      <c r="F269" s="59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</row>
    <row r="270" ht="15" customHeight="1" s="150">
      <c r="A270" s="62" t="n"/>
      <c r="B270" s="62" t="n"/>
      <c r="C270" s="63" t="n"/>
      <c r="D270" s="59" t="n"/>
      <c r="E270" s="59" t="n"/>
      <c r="F270" s="59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</row>
    <row r="271" ht="15" customHeight="1" s="150">
      <c r="A271" s="62" t="n"/>
      <c r="B271" s="62" t="n"/>
      <c r="C271" s="60" t="n"/>
      <c r="D271" s="59" t="n"/>
      <c r="E271" s="59" t="n"/>
      <c r="F271" s="59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</row>
    <row r="272" ht="15" customHeight="1" s="150">
      <c r="A272" s="62" t="n"/>
      <c r="B272" s="62" t="n"/>
      <c r="C272" s="60" t="n"/>
      <c r="D272" s="59" t="n"/>
      <c r="E272" s="59" t="n"/>
      <c r="F272" s="59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</row>
    <row r="273" ht="15" customHeight="1" s="150">
      <c r="A273" s="62" t="n"/>
      <c r="B273" s="62" t="n"/>
      <c r="C273" s="58" t="n"/>
      <c r="D273" s="59" t="n"/>
      <c r="E273" s="59" t="n"/>
      <c r="F273" s="59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</row>
    <row r="274" ht="15" customHeight="1" s="150">
      <c r="A274" s="62" t="n"/>
      <c r="B274" s="62" t="n"/>
      <c r="C274" s="62" t="n"/>
      <c r="D274" s="59" t="n"/>
      <c r="E274" s="59" t="n"/>
      <c r="F274" s="59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</row>
    <row r="275" ht="15" customHeight="1" s="150">
      <c r="A275" s="62" t="n"/>
      <c r="B275" s="62" t="n"/>
      <c r="C275" s="62" t="n"/>
      <c r="D275" s="59" t="n"/>
      <c r="E275" s="59" t="n"/>
      <c r="F275" s="59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</row>
    <row r="276" ht="15" customHeight="1" s="150">
      <c r="A276" s="62" t="n"/>
      <c r="B276" s="62" t="n"/>
      <c r="C276" s="62" t="n"/>
      <c r="D276" s="59" t="n"/>
      <c r="E276" s="59" t="n"/>
      <c r="F276" s="59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</row>
    <row r="277" ht="15" customHeight="1" s="150">
      <c r="A277" s="62" t="n"/>
      <c r="B277" s="62" t="n"/>
      <c r="C277" s="63" t="n"/>
      <c r="D277" s="59" t="n"/>
      <c r="E277" s="59" t="n"/>
      <c r="F277" s="59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</row>
    <row r="278" ht="15" customHeight="1" s="150">
      <c r="A278" s="62" t="n"/>
      <c r="B278" s="62" t="n"/>
      <c r="C278" s="58" t="n"/>
      <c r="D278" s="59" t="n"/>
      <c r="E278" s="59" t="n"/>
      <c r="F278" s="59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</row>
    <row r="279" ht="15" customHeight="1" s="150">
      <c r="A279" s="62" t="n"/>
      <c r="B279" s="62" t="n"/>
      <c r="C279" s="62" t="n"/>
      <c r="D279" s="59" t="n"/>
      <c r="E279" s="59" t="n"/>
      <c r="F279" s="59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</row>
    <row r="280" ht="15" customHeight="1" s="150">
      <c r="A280" s="62" t="n"/>
      <c r="B280" s="62" t="n"/>
      <c r="C280" s="62" t="n"/>
      <c r="D280" s="59" t="n"/>
      <c r="E280" s="59" t="n"/>
      <c r="F280" s="59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</row>
    <row r="281" ht="15" customHeight="1" s="150">
      <c r="A281" s="62" t="n"/>
      <c r="B281" s="62" t="n"/>
      <c r="C281" s="62" t="n"/>
      <c r="D281" s="59" t="n"/>
      <c r="E281" s="59" t="n"/>
      <c r="F281" s="59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</row>
    <row r="282" ht="15" customHeight="1" s="150">
      <c r="A282" s="62" t="n"/>
      <c r="B282" s="62" t="n"/>
      <c r="C282" s="62" t="n"/>
      <c r="D282" s="59" t="n"/>
      <c r="E282" s="59" t="n"/>
      <c r="F282" s="59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</row>
    <row r="283" ht="15" customHeight="1" s="150">
      <c r="A283" s="62" t="n"/>
      <c r="B283" s="62" t="n"/>
      <c r="C283" s="62" t="n"/>
      <c r="D283" s="59" t="n"/>
      <c r="E283" s="59" t="n"/>
      <c r="F283" s="59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</row>
    <row r="284" ht="15" customHeight="1" s="150">
      <c r="A284" s="62" t="n"/>
      <c r="B284" s="62" t="n"/>
      <c r="C284" s="63" t="n"/>
      <c r="D284" s="59" t="n"/>
      <c r="E284" s="59" t="n"/>
      <c r="F284" s="59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</row>
    <row r="285" ht="15" customHeight="1" s="150">
      <c r="A285" s="62" t="n"/>
      <c r="B285" s="62" t="n"/>
      <c r="C285" s="58" t="n"/>
      <c r="D285" s="59" t="n"/>
      <c r="E285" s="59" t="n"/>
      <c r="F285" s="59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</row>
    <row r="286" ht="15" customHeight="1" s="150">
      <c r="A286" s="62" t="n"/>
      <c r="B286" s="62" t="n"/>
      <c r="C286" s="63" t="n"/>
      <c r="D286" s="59" t="n"/>
      <c r="E286" s="59" t="n"/>
      <c r="F286" s="59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</row>
    <row r="287" ht="15" customHeight="1" s="150">
      <c r="A287" s="62" t="n"/>
      <c r="B287" s="62" t="n"/>
      <c r="C287" s="58" t="n"/>
      <c r="D287" s="59" t="n"/>
      <c r="E287" s="59" t="n"/>
      <c r="F287" s="59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</row>
    <row r="288" ht="15" customHeight="1" s="150">
      <c r="A288" s="62" t="n"/>
      <c r="B288" s="62" t="n"/>
      <c r="C288" s="62" t="n"/>
      <c r="D288" s="59" t="n"/>
      <c r="E288" s="59" t="n"/>
      <c r="F288" s="59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</row>
    <row r="289" ht="15" customHeight="1" s="150">
      <c r="A289" s="62" t="n"/>
      <c r="B289" s="62" t="n"/>
      <c r="C289" s="62" t="n"/>
      <c r="D289" s="59" t="n"/>
      <c r="E289" s="59" t="n"/>
      <c r="F289" s="59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</row>
    <row r="290" ht="15" customHeight="1" s="150">
      <c r="A290" s="62" t="n"/>
      <c r="B290" s="62" t="n"/>
      <c r="C290" s="62" t="n"/>
      <c r="D290" s="59" t="n"/>
      <c r="E290" s="59" t="n"/>
      <c r="F290" s="59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</row>
    <row r="291" ht="15" customHeight="1" s="150">
      <c r="A291" s="62" t="n"/>
      <c r="B291" s="62" t="n"/>
      <c r="C291" s="63" t="n"/>
      <c r="D291" s="59" t="n"/>
      <c r="E291" s="59" t="n"/>
      <c r="F291" s="59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</row>
    <row r="292" ht="15" customHeight="1" s="150">
      <c r="A292" s="62" t="n"/>
      <c r="B292" s="62" t="n"/>
      <c r="C292" s="58" t="n"/>
      <c r="D292" s="59" t="n"/>
      <c r="E292" s="59" t="n"/>
      <c r="F292" s="59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</row>
    <row r="293" ht="25.5" customHeight="1" s="150">
      <c r="A293" s="62" t="n"/>
      <c r="B293" s="62" t="n"/>
      <c r="C293" s="62" t="n"/>
      <c r="D293" s="59" t="n"/>
      <c r="E293" s="59" t="n"/>
      <c r="F293" s="59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</row>
    <row r="294" ht="12.75" customHeight="1" s="150">
      <c r="A294" s="62" t="n"/>
      <c r="B294" s="63" t="n"/>
      <c r="C294" s="63" t="n"/>
      <c r="D294" s="59" t="n"/>
      <c r="E294" s="59" t="n"/>
      <c r="F294" s="59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</row>
    <row r="295" ht="15" customHeight="1" s="150">
      <c r="A295" s="62" t="n"/>
      <c r="B295" s="58" t="n"/>
      <c r="C295" s="58" t="n"/>
      <c r="D295" s="59" t="n"/>
      <c r="E295" s="59" t="n"/>
      <c r="F295" s="59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</row>
    <row r="296" ht="15" customHeight="1" s="150">
      <c r="A296" s="62" t="n"/>
      <c r="B296" s="62" t="n"/>
      <c r="C296" s="62" t="n"/>
      <c r="D296" s="59" t="n"/>
      <c r="E296" s="59" t="n"/>
      <c r="F296" s="59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</row>
    <row r="297" ht="15" customHeight="1" s="150">
      <c r="A297" s="62" t="n"/>
      <c r="B297" s="62" t="n"/>
      <c r="C297" s="62" t="n"/>
      <c r="D297" s="59" t="n"/>
      <c r="E297" s="59" t="n"/>
      <c r="F297" s="59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</row>
    <row r="298" ht="15" customHeight="1" s="150">
      <c r="A298" s="62" t="n"/>
      <c r="B298" s="62" t="n"/>
      <c r="C298" s="62" t="n"/>
      <c r="D298" s="59" t="n"/>
      <c r="E298" s="59" t="n"/>
      <c r="F298" s="59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</row>
    <row r="299" ht="15" customHeight="1" s="150">
      <c r="A299" s="62" t="n"/>
      <c r="B299" s="62" t="n"/>
      <c r="C299" s="62" t="n"/>
      <c r="D299" s="59" t="n"/>
      <c r="E299" s="59" t="n"/>
      <c r="F299" s="59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</row>
    <row r="300" ht="15" customHeight="1" s="150">
      <c r="A300" s="62" t="n"/>
      <c r="B300" s="62" t="n"/>
      <c r="C300" s="62" t="n"/>
      <c r="D300" s="59" t="n"/>
      <c r="E300" s="59" t="n"/>
      <c r="F300" s="59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</row>
    <row r="301" ht="15" customHeight="1" s="150">
      <c r="A301" s="62" t="n"/>
      <c r="B301" s="62" t="n"/>
      <c r="C301" s="62" t="n"/>
      <c r="D301" s="59" t="n"/>
      <c r="E301" s="59" t="n"/>
      <c r="F301" s="59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</row>
    <row r="302" ht="15" customHeight="1" s="150">
      <c r="A302" s="62" t="n"/>
      <c r="B302" s="62" t="n"/>
      <c r="C302" s="62" t="n"/>
      <c r="D302" s="59" t="n"/>
      <c r="E302" s="59" t="n"/>
      <c r="F302" s="59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</row>
    <row r="303" ht="15" customHeight="1" s="150">
      <c r="A303" s="62" t="n"/>
      <c r="B303" s="62" t="n"/>
      <c r="C303" s="63" t="n"/>
      <c r="D303" s="59" t="n"/>
      <c r="E303" s="59" t="n"/>
      <c r="F303" s="59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</row>
    <row r="304" ht="12.75" customHeight="1" s="150">
      <c r="A304" s="62" t="n"/>
      <c r="B304" s="62" t="n"/>
      <c r="C304" s="58" t="n"/>
      <c r="D304" s="59" t="n"/>
      <c r="E304" s="59" t="n"/>
      <c r="F304" s="59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</row>
    <row r="305" ht="15" customHeight="1" s="150">
      <c r="A305" s="62" t="n"/>
      <c r="B305" s="62" t="n"/>
      <c r="C305" s="62" t="n"/>
      <c r="D305" s="59" t="n"/>
      <c r="E305" s="60" t="n"/>
      <c r="F305" s="59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</row>
    <row r="306" ht="15" customHeight="1" s="150">
      <c r="A306" s="62" t="n"/>
      <c r="B306" s="62" t="n"/>
      <c r="C306" s="62" t="n"/>
      <c r="D306" s="59" t="n"/>
      <c r="E306" s="60" t="n"/>
      <c r="F306" s="59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</row>
    <row r="307" ht="25.5" customHeight="1" s="150">
      <c r="A307" s="62" t="n"/>
      <c r="B307" s="62" t="n"/>
      <c r="C307" s="62" t="n"/>
      <c r="D307" s="59" t="n"/>
      <c r="E307" s="60" t="n"/>
      <c r="F307" s="59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</row>
    <row r="308" ht="25.5" customHeight="1" s="150">
      <c r="A308" s="62" t="n"/>
      <c r="B308" s="62" t="n"/>
      <c r="C308" s="62" t="n"/>
      <c r="D308" s="59" t="n"/>
      <c r="E308" s="60" t="n"/>
      <c r="F308" s="59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</row>
    <row r="309" ht="25.5" customHeight="1" s="150">
      <c r="A309" s="62" t="n"/>
      <c r="B309" s="62" t="n"/>
      <c r="C309" s="62" t="n"/>
      <c r="D309" s="59" t="n"/>
      <c r="E309" s="60" t="n"/>
      <c r="F309" s="59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</row>
    <row r="310" ht="25.5" customHeight="1" s="150">
      <c r="A310" s="62" t="n"/>
      <c r="B310" s="62" t="n"/>
      <c r="C310" s="62" t="n"/>
      <c r="D310" s="59" t="n"/>
      <c r="E310" s="60" t="n"/>
      <c r="F310" s="59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</row>
    <row r="311" ht="25.5" customHeight="1" s="150">
      <c r="A311" s="62" t="n"/>
      <c r="B311" s="62" t="n"/>
      <c r="C311" s="62" t="n"/>
      <c r="D311" s="59" t="n"/>
      <c r="E311" s="60" t="n"/>
      <c r="F311" s="59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</row>
    <row r="312" ht="25.5" customHeight="1" s="150">
      <c r="A312" s="62" t="n"/>
      <c r="B312" s="62" t="n"/>
      <c r="C312" s="62" t="n"/>
      <c r="D312" s="59" t="n"/>
      <c r="E312" s="60" t="n"/>
      <c r="F312" s="59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</row>
    <row r="313" ht="25.5" customHeight="1" s="150">
      <c r="A313" s="62" t="n"/>
      <c r="B313" s="62" t="n"/>
      <c r="C313" s="62" t="n"/>
      <c r="D313" s="59" t="n"/>
      <c r="E313" s="59" t="n"/>
      <c r="F313" s="59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</row>
    <row r="314" ht="15" customHeight="1" s="150">
      <c r="A314" s="62" t="n"/>
      <c r="B314" s="62" t="n"/>
      <c r="C314" s="62" t="n"/>
      <c r="D314" s="59" t="n"/>
      <c r="E314" s="59" t="n"/>
      <c r="F314" s="59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</row>
    <row r="315" ht="15" customHeight="1" s="150">
      <c r="A315" s="62" t="n"/>
      <c r="B315" s="62" t="n"/>
      <c r="C315" s="63" t="n"/>
      <c r="D315" s="59" t="n"/>
      <c r="E315" s="59" t="n"/>
      <c r="F315" s="59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</row>
    <row r="316" ht="15" customHeight="1" s="150">
      <c r="A316" s="62" t="n"/>
      <c r="B316" s="62" t="n"/>
      <c r="C316" s="58" t="n"/>
      <c r="D316" s="59" t="n"/>
      <c r="E316" s="59" t="n"/>
      <c r="F316" s="59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</row>
    <row r="317" ht="15" customHeight="1" s="150">
      <c r="A317" s="62" t="n"/>
      <c r="B317" s="62" t="n"/>
      <c r="C317" s="62" t="n"/>
      <c r="D317" s="59" t="n"/>
      <c r="E317" s="59" t="n"/>
      <c r="F317" s="58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</row>
    <row r="318" ht="15" customHeight="1" s="150">
      <c r="A318" s="62" t="n"/>
      <c r="B318" s="62" t="n"/>
      <c r="C318" s="62" t="n"/>
      <c r="D318" s="59" t="n"/>
      <c r="E318" s="60" t="n"/>
      <c r="F318" s="62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</row>
    <row r="319" ht="15" customHeight="1" s="150">
      <c r="A319" s="62" t="n"/>
      <c r="B319" s="62" t="n"/>
      <c r="C319" s="62" t="n"/>
      <c r="D319" s="59" t="n"/>
      <c r="E319" s="60" t="n"/>
      <c r="F319" s="62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</row>
    <row r="320" ht="15" customHeight="1" s="150">
      <c r="A320" s="62" t="n"/>
      <c r="B320" s="62" t="n"/>
      <c r="C320" s="62" t="n"/>
      <c r="D320" s="59" t="n"/>
      <c r="E320" s="60" t="n"/>
      <c r="F320" s="62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</row>
    <row r="321" ht="15" customHeight="1" s="150">
      <c r="A321" s="62" t="n"/>
      <c r="B321" s="62" t="n"/>
      <c r="C321" s="62" t="n"/>
      <c r="D321" s="59" t="n"/>
      <c r="E321" s="60" t="n"/>
      <c r="F321" s="63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</row>
    <row r="322" ht="15" customHeight="1" s="150">
      <c r="A322" s="62" t="n"/>
      <c r="B322" s="62" t="n"/>
      <c r="C322" s="62" t="n"/>
      <c r="D322" s="59" t="n"/>
      <c r="E322" s="59" t="n"/>
      <c r="F322" s="59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</row>
    <row r="323" ht="15" customHeight="1" s="150">
      <c r="A323" s="62" t="n"/>
      <c r="B323" s="62" t="n"/>
      <c r="C323" s="62" t="n"/>
      <c r="D323" s="59" t="n"/>
      <c r="E323" s="59" t="n"/>
      <c r="F323" s="59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</row>
    <row r="324" ht="15" customHeight="1" s="150">
      <c r="A324" s="62" t="n"/>
      <c r="B324" s="62" t="n"/>
      <c r="C324" s="63" t="n"/>
      <c r="D324" s="59" t="n"/>
      <c r="E324" s="59" t="n"/>
      <c r="F324" s="59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</row>
    <row r="325" ht="15" customHeight="1" s="150">
      <c r="A325" s="62" t="n"/>
      <c r="B325" s="62" t="n"/>
      <c r="C325" s="58" t="n"/>
      <c r="D325" s="59" t="n"/>
      <c r="E325" s="59" t="n"/>
      <c r="F325" s="59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</row>
    <row r="326" ht="15" customHeight="1" s="150">
      <c r="A326" s="62" t="n"/>
      <c r="B326" s="62" t="n"/>
      <c r="C326" s="62" t="n"/>
      <c r="D326" s="59" t="n"/>
      <c r="E326" s="59" t="n"/>
      <c r="F326" s="59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</row>
    <row r="327" ht="15" customHeight="1" s="150">
      <c r="A327" s="62" t="n"/>
      <c r="B327" s="63" t="n"/>
      <c r="C327" s="63" t="n"/>
      <c r="D327" s="59" t="n"/>
      <c r="E327" s="59" t="n"/>
      <c r="F327" s="59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</row>
    <row r="328" ht="15" customHeight="1" s="150">
      <c r="A328" s="62" t="n"/>
      <c r="B328" s="58" t="n"/>
      <c r="C328" s="58" t="n"/>
      <c r="D328" s="59" t="n"/>
      <c r="E328" s="59" t="n"/>
      <c r="F328" s="59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</row>
    <row r="329" ht="25.5" customHeight="1" s="150">
      <c r="A329" s="62" t="n"/>
      <c r="B329" s="62" t="n"/>
      <c r="C329" s="62" t="n"/>
      <c r="D329" s="59" t="n"/>
      <c r="E329" s="59" t="n"/>
      <c r="F329" s="59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</row>
    <row r="330" ht="25.5" customHeight="1" s="150">
      <c r="A330" s="62" t="n"/>
      <c r="B330" s="62" t="n"/>
      <c r="C330" s="62" t="n"/>
      <c r="D330" s="59" t="n"/>
      <c r="E330" s="59" t="n"/>
      <c r="F330" s="59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</row>
    <row r="331" ht="15" customHeight="1" s="150">
      <c r="A331" s="62" t="n"/>
      <c r="B331" s="62" t="n"/>
      <c r="C331" s="62" t="n"/>
      <c r="D331" s="59" t="n"/>
      <c r="E331" s="59" t="n"/>
      <c r="F331" s="59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</row>
    <row r="332" ht="15" customHeight="1" s="150">
      <c r="A332" s="62" t="n"/>
      <c r="B332" s="63" t="n"/>
      <c r="C332" s="63" t="n"/>
      <c r="D332" s="59" t="n"/>
      <c r="E332" s="59" t="n"/>
      <c r="F332" s="59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</row>
    <row r="333" ht="15" customHeight="1" s="150">
      <c r="A333" s="62" t="n"/>
      <c r="B333" s="58" t="n"/>
      <c r="C333" s="58" t="n"/>
      <c r="D333" s="59" t="n"/>
      <c r="E333" s="60" t="n"/>
      <c r="F333" s="59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</row>
    <row r="334" ht="15" customHeight="1" s="150">
      <c r="A334" s="62" t="n"/>
      <c r="B334" s="62" t="n"/>
      <c r="C334" s="62" t="n"/>
      <c r="D334" s="59" t="n"/>
      <c r="E334" s="60" t="n"/>
      <c r="F334" s="59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</row>
    <row r="335" ht="15" customHeight="1" s="150">
      <c r="A335" s="62" t="n"/>
      <c r="B335" s="62" t="n"/>
      <c r="C335" s="62" t="n"/>
      <c r="D335" s="59" t="n"/>
      <c r="E335" s="60" t="n"/>
      <c r="F335" s="59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</row>
    <row r="336" ht="15" customHeight="1" s="150">
      <c r="A336" s="62" t="n"/>
      <c r="B336" s="62" t="n"/>
      <c r="C336" s="63" t="n"/>
      <c r="D336" s="59" t="n"/>
      <c r="E336" s="60" t="n"/>
      <c r="F336" s="59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</row>
    <row r="337" ht="15" customHeight="1" s="150">
      <c r="A337" s="62" t="n"/>
      <c r="B337" s="62" t="n"/>
      <c r="C337" s="58" t="n"/>
      <c r="D337" s="59" t="n"/>
      <c r="E337" s="60" t="n"/>
      <c r="F337" s="59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</row>
    <row r="338" ht="15" customHeight="1" s="150">
      <c r="A338" s="62" t="n"/>
      <c r="B338" s="62" t="n"/>
      <c r="C338" s="62" t="n"/>
      <c r="D338" s="59" t="n"/>
      <c r="E338" s="60" t="n"/>
      <c r="F338" s="59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</row>
    <row r="339" ht="15" customHeight="1" s="150">
      <c r="A339" s="62" t="n"/>
      <c r="B339" s="62" t="n"/>
      <c r="C339" s="62" t="n"/>
      <c r="D339" s="59" t="n"/>
      <c r="E339" s="60" t="n"/>
      <c r="F339" s="59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</row>
    <row r="340" ht="15" customHeight="1" s="150">
      <c r="A340" s="62" t="n"/>
      <c r="B340" s="62" t="n"/>
      <c r="C340" s="62" t="n"/>
      <c r="D340" s="59" t="n"/>
      <c r="E340" s="60" t="n"/>
      <c r="F340" s="59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</row>
    <row r="341" ht="15" customHeight="1" s="150">
      <c r="A341" s="62" t="n"/>
      <c r="B341" s="62" t="n"/>
      <c r="C341" s="62" t="n"/>
      <c r="D341" s="59" t="n"/>
      <c r="E341" s="60" t="n"/>
      <c r="F341" s="59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</row>
    <row r="342" ht="15" customHeight="1" s="150">
      <c r="A342" s="62" t="n"/>
      <c r="B342" s="62" t="n"/>
      <c r="C342" s="62" t="n"/>
      <c r="D342" s="59" t="n"/>
      <c r="E342" s="60" t="n"/>
      <c r="F342" s="59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</row>
    <row r="343" ht="15" customHeight="1" s="150">
      <c r="A343" s="62" t="n"/>
      <c r="B343" s="62" t="n"/>
      <c r="C343" s="62" t="n"/>
      <c r="D343" s="59" t="n"/>
      <c r="E343" s="60" t="n"/>
      <c r="F343" s="59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</row>
    <row r="344" ht="15" customHeight="1" s="150">
      <c r="A344" s="62" t="n"/>
      <c r="B344" s="62" t="n"/>
      <c r="C344" s="63" t="n"/>
      <c r="D344" s="59" t="n"/>
      <c r="E344" s="60" t="n"/>
      <c r="F344" s="59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</row>
    <row r="345" ht="15" customHeight="1" s="150">
      <c r="A345" s="62" t="n"/>
      <c r="B345" s="62" t="n"/>
      <c r="C345" s="58" t="n"/>
      <c r="D345" s="59" t="n"/>
      <c r="E345" s="60" t="n"/>
      <c r="F345" s="59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</row>
    <row r="346" ht="15" customHeight="1" s="150">
      <c r="A346" s="62" t="n"/>
      <c r="B346" s="62" t="n"/>
      <c r="C346" s="62" t="n"/>
      <c r="D346" s="59" t="n"/>
      <c r="E346" s="60" t="n"/>
      <c r="F346" s="59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</row>
    <row r="347" ht="15" customHeight="1" s="150">
      <c r="A347" s="62" t="n"/>
      <c r="B347" s="62" t="n"/>
      <c r="C347" s="62" t="n"/>
      <c r="D347" s="59" t="n"/>
      <c r="E347" s="60" t="n"/>
      <c r="F347" s="59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</row>
    <row r="348" ht="15" customHeight="1" s="150">
      <c r="A348" s="62" t="n"/>
      <c r="B348" s="62" t="n"/>
      <c r="C348" s="62" t="n"/>
      <c r="D348" s="59" t="n"/>
      <c r="E348" s="60" t="n"/>
      <c r="F348" s="59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</row>
    <row r="349" ht="15" customHeight="1" s="150">
      <c r="A349" s="62" t="n"/>
      <c r="B349" s="62" t="n"/>
      <c r="C349" s="63" t="n"/>
      <c r="D349" s="59" t="n"/>
      <c r="E349" s="60" t="n"/>
      <c r="F349" s="59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</row>
    <row r="350" ht="15" customHeight="1" s="150">
      <c r="A350" s="62" t="n"/>
      <c r="B350" s="62" t="n"/>
      <c r="C350" s="58" t="n"/>
      <c r="D350" s="59" t="n"/>
      <c r="E350" s="60" t="n"/>
      <c r="F350" s="59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</row>
    <row r="351" ht="15" customHeight="1" s="150">
      <c r="A351" s="62" t="n"/>
      <c r="B351" s="62" t="n"/>
      <c r="C351" s="62" t="n"/>
      <c r="D351" s="59" t="n"/>
      <c r="E351" s="60" t="n"/>
      <c r="F351" s="59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</row>
    <row r="352" ht="15" customHeight="1" s="150">
      <c r="A352" s="62" t="n"/>
      <c r="B352" s="62" t="n"/>
      <c r="C352" s="63" t="n"/>
      <c r="D352" s="59" t="n"/>
      <c r="E352" s="60" t="n"/>
      <c r="F352" s="59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</row>
    <row r="353" ht="15" customHeight="1" s="150">
      <c r="A353" s="62" t="n"/>
      <c r="B353" s="62" t="n"/>
      <c r="C353" s="58" t="n"/>
      <c r="D353" s="59" t="n"/>
      <c r="E353" s="60" t="n"/>
      <c r="F353" s="59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</row>
    <row r="354" ht="15" customHeight="1" s="150">
      <c r="A354" s="62" t="n"/>
      <c r="B354" s="62" t="n"/>
      <c r="C354" s="62" t="n"/>
      <c r="D354" s="59" t="n"/>
      <c r="E354" s="60" t="n"/>
      <c r="F354" s="59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</row>
    <row r="355" ht="15" customHeight="1" s="150">
      <c r="A355" s="62" t="n"/>
      <c r="B355" s="62" t="n"/>
      <c r="C355" s="63" t="n"/>
      <c r="D355" s="59" t="n"/>
      <c r="E355" s="60" t="n"/>
      <c r="F355" s="59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</row>
    <row r="356" ht="15" customHeight="1" s="150">
      <c r="A356" s="62" t="n"/>
      <c r="B356" s="62" t="n"/>
      <c r="C356" s="58" t="n"/>
      <c r="D356" s="59" t="n"/>
      <c r="E356" s="59" t="n"/>
      <c r="F356" s="59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</row>
    <row r="357" ht="15" customHeight="1" s="150">
      <c r="A357" s="62" t="n"/>
      <c r="B357" s="62" t="n"/>
      <c r="C357" s="62" t="n"/>
      <c r="D357" s="59" t="n"/>
      <c r="E357" s="59" t="n"/>
      <c r="F357" s="59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</row>
    <row r="358" ht="15" customHeight="1" s="150">
      <c r="A358" s="62" t="n"/>
      <c r="B358" s="62" t="n"/>
      <c r="C358" s="62" t="n"/>
      <c r="D358" s="59" t="n"/>
      <c r="E358" s="59" t="n"/>
      <c r="F358" s="59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</row>
    <row r="359" ht="15" customHeight="1" s="150">
      <c r="A359" s="62" t="n"/>
      <c r="B359" s="62" t="n"/>
      <c r="C359" s="62" t="n"/>
      <c r="D359" s="59" t="n"/>
      <c r="E359" s="59" t="n"/>
      <c r="F359" s="58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</row>
    <row r="360" ht="15" customHeight="1" s="150">
      <c r="A360" s="62" t="n"/>
      <c r="B360" s="62" t="n"/>
      <c r="C360" s="62" t="n"/>
      <c r="D360" s="59" t="n"/>
      <c r="E360" s="59" t="n"/>
      <c r="F360" s="59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</row>
    <row r="361" ht="15" customHeight="1" s="150">
      <c r="A361" s="62" t="n"/>
      <c r="B361" s="62" t="n"/>
      <c r="C361" s="62" t="n"/>
      <c r="D361" s="59" t="n"/>
      <c r="E361" s="59" t="n"/>
      <c r="F361" s="59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</row>
    <row r="362" ht="12.75" customHeight="1" s="150">
      <c r="A362" s="62" t="n"/>
      <c r="B362" s="62" t="n"/>
      <c r="C362" s="62" t="n"/>
      <c r="D362" s="59" t="n"/>
      <c r="E362" s="59" t="n"/>
      <c r="F362" s="59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</row>
    <row r="363" ht="12.75" customHeight="1" s="150">
      <c r="A363" s="62" t="n"/>
      <c r="B363" s="62" t="n"/>
      <c r="C363" s="62" t="n"/>
      <c r="D363" s="59" t="n"/>
      <c r="E363" s="59" t="n"/>
      <c r="F363" s="59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</row>
    <row r="364" ht="15" customHeight="1" s="150">
      <c r="A364" s="62" t="n"/>
      <c r="B364" s="62" t="n"/>
      <c r="C364" s="63" t="n"/>
      <c r="D364" s="59" t="n"/>
      <c r="E364" s="59" t="n"/>
      <c r="F364" s="59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</row>
    <row r="365" ht="15" customHeight="1" s="150">
      <c r="A365" s="62" t="n"/>
      <c r="B365" s="62" t="n"/>
      <c r="C365" s="58" t="n"/>
      <c r="D365" s="59" t="n"/>
      <c r="E365" s="59" t="n"/>
      <c r="F365" s="59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</row>
    <row r="366" ht="15" customHeight="1" s="150">
      <c r="A366" s="62" t="n"/>
      <c r="B366" s="62" t="n"/>
      <c r="C366" s="62" t="n"/>
      <c r="D366" s="59" t="n"/>
      <c r="E366" s="59" t="n"/>
      <c r="F366" s="59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</row>
    <row r="367" ht="15" customHeight="1" s="150">
      <c r="A367" s="62" t="n"/>
      <c r="B367" s="62" t="n"/>
      <c r="C367" s="62" t="n"/>
      <c r="D367" s="59" t="n"/>
      <c r="E367" s="59" t="n"/>
      <c r="F367" s="59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</row>
    <row r="368" ht="15" customHeight="1" s="150">
      <c r="A368" s="62" t="n"/>
      <c r="B368" s="62" t="n"/>
      <c r="C368" s="62" t="n"/>
      <c r="D368" s="59" t="n"/>
      <c r="E368" s="59" t="n"/>
      <c r="F368" s="59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</row>
    <row r="369" ht="15" customHeight="1" s="150">
      <c r="A369" s="62" t="n"/>
      <c r="B369" s="62" t="n"/>
      <c r="C369" s="62" t="n"/>
      <c r="D369" s="59" t="n"/>
      <c r="E369" s="59" t="n"/>
      <c r="F369" s="59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</row>
    <row r="370" ht="15" customHeight="1" s="150">
      <c r="A370" s="62" t="n"/>
      <c r="B370" s="62" t="n"/>
      <c r="C370" s="62" t="n"/>
      <c r="D370" s="59" t="n"/>
      <c r="E370" s="59" t="n"/>
      <c r="F370" s="59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</row>
    <row r="371" ht="15" customHeight="1" s="150">
      <c r="A371" s="62" t="n"/>
      <c r="B371" s="62" t="n"/>
      <c r="C371" s="63" t="n"/>
      <c r="D371" s="59" t="n"/>
      <c r="E371" s="59" t="n"/>
      <c r="F371" s="59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</row>
    <row r="372" ht="15" customHeight="1" s="150">
      <c r="A372" s="62" t="n"/>
      <c r="B372" s="62" t="n"/>
      <c r="C372" s="58" t="n"/>
      <c r="D372" s="59" t="n"/>
      <c r="E372" s="59" t="n"/>
      <c r="F372" s="59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</row>
    <row r="373" ht="15" customHeight="1" s="150">
      <c r="A373" s="62" t="n"/>
      <c r="B373" s="62" t="n"/>
      <c r="C373" s="62" t="n"/>
      <c r="D373" s="59" t="n"/>
      <c r="E373" s="59" t="n"/>
      <c r="F373" s="59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</row>
    <row r="374" ht="15" customHeight="1" s="150">
      <c r="A374" s="63" t="n"/>
      <c r="B374" s="63" t="n"/>
      <c r="C374" s="63" t="n"/>
      <c r="D374" s="59" t="n"/>
      <c r="E374" s="59" t="n"/>
      <c r="F374" s="59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</row>
    <row r="375" ht="15" customHeight="1" s="150">
      <c r="A375" s="58" t="n"/>
      <c r="B375" s="58" t="n"/>
      <c r="C375" s="58" t="n"/>
      <c r="D375" s="59" t="n"/>
      <c r="E375" s="60" t="n"/>
      <c r="F375" s="59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</row>
    <row r="376" ht="15" customHeight="1" s="150">
      <c r="A376" s="62" t="n"/>
      <c r="B376" s="62" t="n"/>
      <c r="C376" s="62" t="n"/>
      <c r="D376" s="59" t="n"/>
      <c r="E376" s="60" t="n"/>
      <c r="F376" s="59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</row>
    <row r="377" ht="15" customHeight="1" s="150">
      <c r="A377" s="62" t="n"/>
      <c r="B377" s="62" t="n"/>
      <c r="C377" s="62" t="n"/>
      <c r="D377" s="59" t="n"/>
      <c r="E377" s="60" t="n"/>
      <c r="F377" s="59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</row>
    <row r="378" ht="15" customHeight="1" s="150">
      <c r="A378" s="62" t="n"/>
      <c r="B378" s="62" t="n"/>
      <c r="C378" s="63" t="n"/>
      <c r="D378" s="59" t="n"/>
      <c r="E378" s="60" t="n"/>
      <c r="F378" s="59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</row>
    <row r="379" ht="25.5" customHeight="1" s="150">
      <c r="A379" s="62" t="n"/>
      <c r="B379" s="62" t="n"/>
      <c r="C379" s="58" t="n"/>
      <c r="D379" s="59" t="n"/>
      <c r="E379" s="60" t="n"/>
      <c r="F379" s="59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</row>
    <row r="380" ht="12.75" customHeight="1" s="150">
      <c r="A380" s="62" t="n"/>
      <c r="B380" s="62" t="n"/>
      <c r="C380" s="62" t="n"/>
      <c r="D380" s="59" t="n"/>
      <c r="E380" s="60" t="n"/>
      <c r="F380" s="59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</row>
    <row r="381" ht="15" customHeight="1" s="150">
      <c r="A381" s="62" t="n"/>
      <c r="B381" s="62" t="n"/>
      <c r="C381" s="62" t="n"/>
      <c r="D381" s="59" t="n"/>
      <c r="E381" s="60" t="n"/>
      <c r="F381" s="59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</row>
    <row r="382" ht="15" customHeight="1" s="150">
      <c r="A382" s="62" t="n"/>
      <c r="B382" s="62" t="n"/>
      <c r="C382" s="62" t="n"/>
      <c r="D382" s="59" t="n"/>
      <c r="E382" s="60" t="n"/>
      <c r="F382" s="59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</row>
    <row r="383" ht="15" customHeight="1" s="150">
      <c r="A383" s="62" t="n"/>
      <c r="B383" s="62" t="n"/>
      <c r="C383" s="62" t="n"/>
      <c r="D383" s="59" t="n"/>
      <c r="E383" s="60" t="n"/>
      <c r="F383" s="59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</row>
    <row r="384" ht="15" customHeight="1" s="150">
      <c r="A384" s="62" t="n"/>
      <c r="B384" s="62" t="n"/>
      <c r="C384" s="62" t="n"/>
      <c r="D384" s="59" t="n"/>
      <c r="E384" s="60" t="n"/>
      <c r="F384" s="59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</row>
    <row r="385" ht="15" customHeight="1" s="150">
      <c r="A385" s="62" t="n"/>
      <c r="B385" s="62" t="n"/>
      <c r="C385" s="62" t="n"/>
      <c r="D385" s="59" t="n"/>
      <c r="E385" s="60" t="n"/>
      <c r="F385" s="59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</row>
    <row r="386" ht="15" customHeight="1" s="150">
      <c r="A386" s="62" t="n"/>
      <c r="B386" s="62" t="n"/>
      <c r="C386" s="63" t="n"/>
      <c r="D386" s="59" t="n"/>
      <c r="E386" s="60" t="n"/>
      <c r="F386" s="59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</row>
    <row r="387" ht="15" customHeight="1" s="150">
      <c r="A387" s="62" t="n"/>
      <c r="B387" s="62" t="n"/>
      <c r="C387" s="58" t="n"/>
      <c r="D387" s="59" t="n"/>
      <c r="E387" s="60" t="n"/>
      <c r="F387" s="59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</row>
    <row r="388" ht="15" customHeight="1" s="150">
      <c r="A388" s="62" t="n"/>
      <c r="B388" s="62" t="n"/>
      <c r="C388" s="62" t="n"/>
      <c r="D388" s="59" t="n"/>
      <c r="E388" s="60" t="n"/>
      <c r="F388" s="59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</row>
    <row r="389" ht="15" customHeight="1" s="150">
      <c r="A389" s="62" t="n"/>
      <c r="B389" s="62" t="n"/>
      <c r="C389" s="62" t="n"/>
      <c r="D389" s="59" t="n"/>
      <c r="E389" s="60" t="n"/>
      <c r="F389" s="59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</row>
    <row r="390" ht="15" customHeight="1" s="150">
      <c r="A390" s="62" t="n"/>
      <c r="B390" s="62" t="n"/>
      <c r="C390" s="62" t="n"/>
      <c r="D390" s="59" t="n"/>
      <c r="E390" s="60" t="n"/>
      <c r="F390" s="59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</row>
    <row r="391" ht="15" customHeight="1" s="150">
      <c r="A391" s="62" t="n"/>
      <c r="B391" s="62" t="n"/>
      <c r="C391" s="63" t="n"/>
      <c r="D391" s="59" t="n"/>
      <c r="E391" s="60" t="n"/>
      <c r="F391" s="59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</row>
    <row r="392" ht="15" customHeight="1" s="150">
      <c r="A392" s="62" t="n"/>
      <c r="B392" s="62" t="n"/>
      <c r="C392" s="58" t="n"/>
      <c r="D392" s="59" t="n"/>
      <c r="E392" s="60" t="n"/>
      <c r="F392" s="59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</row>
    <row r="393" ht="15" customHeight="1" s="150">
      <c r="A393" s="62" t="n"/>
      <c r="B393" s="62" t="n"/>
      <c r="C393" s="62" t="n"/>
      <c r="D393" s="59" t="n"/>
      <c r="E393" s="60" t="n"/>
      <c r="F393" s="59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</row>
    <row r="394" ht="15" customHeight="1" s="150">
      <c r="A394" s="62" t="n"/>
      <c r="B394" s="62" t="n"/>
      <c r="C394" s="63" t="n"/>
      <c r="D394" s="59" t="n"/>
      <c r="E394" s="60" t="n"/>
      <c r="F394" s="59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</row>
    <row r="395" ht="15" customHeight="1" s="150">
      <c r="A395" s="62" t="n"/>
      <c r="B395" s="62" t="n"/>
      <c r="C395" s="58" t="n"/>
      <c r="D395" s="59" t="n"/>
      <c r="E395" s="60" t="n"/>
      <c r="F395" s="59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</row>
    <row r="396" ht="15" customHeight="1" s="150">
      <c r="A396" s="62" t="n"/>
      <c r="B396" s="62" t="n"/>
      <c r="C396" s="62" t="n"/>
      <c r="D396" s="59" t="n"/>
      <c r="E396" s="60" t="n"/>
      <c r="F396" s="59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</row>
    <row r="397" ht="15" customHeight="1" s="150">
      <c r="A397" s="62" t="n"/>
      <c r="B397" s="62" t="n"/>
      <c r="C397" s="63" t="n"/>
      <c r="D397" s="59" t="n"/>
      <c r="E397" s="60" t="n"/>
      <c r="F397" s="59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</row>
    <row r="398" ht="15" customHeight="1" s="150">
      <c r="A398" s="62" t="n"/>
      <c r="B398" s="62" t="n"/>
      <c r="C398" s="58" t="n"/>
      <c r="D398" s="59" t="n"/>
      <c r="E398" s="59" t="n"/>
      <c r="F398" s="59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</row>
    <row r="399" ht="15" customHeight="1" s="150">
      <c r="A399" s="62" t="n"/>
      <c r="B399" s="62" t="n"/>
      <c r="C399" s="62" t="n"/>
      <c r="D399" s="59" t="n"/>
      <c r="E399" s="59" t="n"/>
      <c r="F399" s="59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</row>
    <row r="400" ht="15" customHeight="1" s="150">
      <c r="A400" s="62" t="n"/>
      <c r="B400" s="62" t="n"/>
      <c r="C400" s="62" t="n"/>
      <c r="D400" s="59" t="n"/>
      <c r="E400" s="59" t="n"/>
      <c r="F400" s="59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</row>
    <row r="401" ht="15" customHeight="1" s="150">
      <c r="A401" s="62" t="n"/>
      <c r="B401" s="62" t="n"/>
      <c r="C401" s="62" t="n"/>
      <c r="D401" s="59" t="n"/>
      <c r="E401" s="59" t="n"/>
      <c r="F401" s="58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</row>
    <row r="402" ht="25.5" customHeight="1" s="150">
      <c r="A402" s="62" t="n"/>
      <c r="B402" s="62" t="n"/>
      <c r="C402" s="62" t="n"/>
      <c r="D402" s="59" t="n"/>
      <c r="E402" s="59" t="n"/>
      <c r="F402" s="59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</row>
    <row r="403" ht="15" customHeight="1" s="150">
      <c r="A403" s="62" t="n"/>
      <c r="B403" s="62" t="n"/>
      <c r="C403" s="62" t="n"/>
      <c r="D403" s="59" t="n"/>
      <c r="E403" s="59" t="n"/>
      <c r="F403" s="59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</row>
    <row r="404" ht="15" customHeight="1" s="150">
      <c r="A404" s="62" t="n"/>
      <c r="B404" s="62" t="n"/>
      <c r="C404" s="62" t="n"/>
      <c r="D404" s="59" t="n"/>
      <c r="E404" s="59" t="n"/>
      <c r="F404" s="59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</row>
    <row r="405" ht="15" customHeight="1" s="150">
      <c r="A405" s="62" t="n"/>
      <c r="B405" s="62" t="n"/>
      <c r="C405" s="62" t="n"/>
      <c r="D405" s="59" t="n"/>
      <c r="E405" s="59" t="n"/>
      <c r="F405" s="59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</row>
    <row r="406" ht="12.75" customHeight="1" s="150">
      <c r="A406" s="62" t="n"/>
      <c r="B406" s="62" t="n"/>
      <c r="C406" s="63" t="n"/>
      <c r="D406" s="59" t="n"/>
      <c r="E406" s="59" t="n"/>
      <c r="F406" s="59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</row>
    <row r="407" ht="15" customHeight="1" s="150">
      <c r="A407" s="62" t="n"/>
      <c r="B407" s="62" t="n"/>
      <c r="C407" s="58" t="n"/>
      <c r="D407" s="59" t="n"/>
      <c r="E407" s="59" t="n"/>
      <c r="F407" s="59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</row>
    <row r="408" ht="15" customHeight="1" s="150">
      <c r="A408" s="62" t="n"/>
      <c r="B408" s="62" t="n"/>
      <c r="C408" s="62" t="n"/>
      <c r="D408" s="59" t="n"/>
      <c r="E408" s="59" t="n"/>
      <c r="F408" s="59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</row>
    <row r="409" ht="15" customHeight="1" s="150">
      <c r="A409" s="62" t="n"/>
      <c r="B409" s="62" t="n"/>
      <c r="C409" s="62" t="n"/>
      <c r="D409" s="59" t="n"/>
      <c r="E409" s="59" t="n"/>
      <c r="F409" s="59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</row>
    <row r="410" ht="15" customHeight="1" s="150">
      <c r="A410" s="62" t="n"/>
      <c r="B410" s="62" t="n"/>
      <c r="C410" s="62" t="n"/>
      <c r="D410" s="59" t="n"/>
      <c r="E410" s="59" t="n"/>
      <c r="F410" s="59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</row>
    <row r="411" ht="25.5" customHeight="1" s="150">
      <c r="A411" s="62" t="n"/>
      <c r="B411" s="62" t="n"/>
      <c r="C411" s="62" t="n"/>
      <c r="D411" s="59" t="n"/>
      <c r="E411" s="59" t="n"/>
      <c r="F411" s="59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</row>
    <row r="412" ht="25.5" customHeight="1" s="150">
      <c r="A412" s="62" t="n"/>
      <c r="B412" s="62" t="n"/>
      <c r="C412" s="62" t="n"/>
      <c r="D412" s="59" t="n"/>
      <c r="E412" s="59" t="n"/>
      <c r="F412" s="59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</row>
    <row r="413" ht="15" customHeight="1" s="150">
      <c r="A413" s="62" t="n"/>
      <c r="B413" s="62" t="n"/>
      <c r="C413" s="63" t="n"/>
      <c r="D413" s="59" t="n"/>
      <c r="E413" s="59" t="n"/>
      <c r="F413" s="59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</row>
    <row r="414" ht="15" customHeight="1" s="150">
      <c r="A414" s="62" t="n"/>
      <c r="B414" s="62" t="n"/>
      <c r="C414" s="58" t="n"/>
      <c r="D414" s="59" t="n"/>
      <c r="E414" s="59" t="n"/>
      <c r="F414" s="59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</row>
    <row r="415" ht="15" customHeight="1" s="150">
      <c r="A415" s="62" t="n"/>
      <c r="B415" s="62" t="n"/>
      <c r="C415" s="62" t="n"/>
      <c r="D415" s="59" t="n"/>
      <c r="E415" s="59" t="n"/>
      <c r="F415" s="59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</row>
    <row r="416" ht="15" customHeight="1" s="150">
      <c r="A416" s="62" t="n"/>
      <c r="B416" s="63" t="n"/>
      <c r="C416" s="63" t="n"/>
      <c r="D416" s="59" t="n"/>
      <c r="E416" s="59" t="n"/>
      <c r="F416" s="59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</row>
    <row r="417" ht="15" customHeight="1" s="150">
      <c r="A417" s="62" t="n"/>
      <c r="B417" s="58" t="n"/>
      <c r="C417" s="58" t="n"/>
      <c r="D417" s="59" t="n"/>
      <c r="E417" s="60" t="n"/>
      <c r="F417" s="59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</row>
    <row r="418" ht="15" customHeight="1" s="150">
      <c r="A418" s="62" t="n"/>
      <c r="B418" s="62" t="n"/>
      <c r="C418" s="62" t="n"/>
      <c r="D418" s="59" t="n"/>
      <c r="E418" s="60" t="n"/>
      <c r="F418" s="59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</row>
    <row r="419" ht="15" customHeight="1" s="150">
      <c r="A419" s="62" t="n"/>
      <c r="B419" s="62" t="n"/>
      <c r="C419" s="62" t="n"/>
      <c r="D419" s="59" t="n"/>
      <c r="E419" s="60" t="n"/>
      <c r="F419" s="59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</row>
    <row r="420" ht="15" customHeight="1" s="150">
      <c r="A420" s="62" t="n"/>
      <c r="B420" s="62" t="n"/>
      <c r="C420" s="63" t="n"/>
      <c r="D420" s="59" t="n"/>
      <c r="E420" s="60" t="n"/>
      <c r="F420" s="59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</row>
    <row r="421" ht="25.5" customHeight="1" s="150">
      <c r="A421" s="62" t="n"/>
      <c r="B421" s="62" t="n"/>
      <c r="C421" s="58" t="n"/>
      <c r="D421" s="59" t="n"/>
      <c r="E421" s="60" t="n"/>
      <c r="F421" s="59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</row>
    <row r="422" ht="12.75" customHeight="1" s="150">
      <c r="A422" s="62" t="n"/>
      <c r="B422" s="62" t="n"/>
      <c r="C422" s="62" t="n"/>
      <c r="D422" s="59" t="n"/>
      <c r="E422" s="60" t="n"/>
      <c r="F422" s="59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</row>
    <row r="423" ht="15" customHeight="1" s="150">
      <c r="A423" s="62" t="n"/>
      <c r="B423" s="62" t="n"/>
      <c r="C423" s="62" t="n"/>
      <c r="D423" s="59" t="n"/>
      <c r="E423" s="60" t="n"/>
      <c r="F423" s="59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</row>
    <row r="424" ht="15" customHeight="1" s="150">
      <c r="A424" s="62" t="n"/>
      <c r="B424" s="62" t="n"/>
      <c r="C424" s="62" t="n"/>
      <c r="D424" s="59" t="n"/>
      <c r="E424" s="60" t="n"/>
      <c r="F424" s="59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</row>
    <row r="425" ht="15" customHeight="1" s="150">
      <c r="A425" s="62" t="n"/>
      <c r="B425" s="62" t="n"/>
      <c r="C425" s="62" t="n"/>
      <c r="D425" s="59" t="n"/>
      <c r="E425" s="60" t="n"/>
      <c r="F425" s="59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</row>
    <row r="426" ht="15" customHeight="1" s="150">
      <c r="A426" s="62" t="n"/>
      <c r="B426" s="62" t="n"/>
      <c r="C426" s="62" t="n"/>
      <c r="D426" s="59" t="n"/>
      <c r="E426" s="60" t="n"/>
      <c r="F426" s="59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</row>
    <row r="427" ht="15" customHeight="1" s="150">
      <c r="A427" s="62" t="n"/>
      <c r="B427" s="62" t="n"/>
      <c r="C427" s="62" t="n"/>
      <c r="D427" s="59" t="n"/>
      <c r="E427" s="60" t="n"/>
      <c r="F427" s="59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</row>
    <row r="428" ht="15" customHeight="1" s="150">
      <c r="A428" s="62" t="n"/>
      <c r="B428" s="62" t="n"/>
      <c r="C428" s="63" t="n"/>
      <c r="D428" s="59" t="n"/>
      <c r="E428" s="60" t="n"/>
      <c r="F428" s="59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</row>
    <row r="429" ht="15" customHeight="1" s="150">
      <c r="A429" s="62" t="n"/>
      <c r="B429" s="62" t="n"/>
      <c r="C429" s="58" t="n"/>
      <c r="D429" s="59" t="n"/>
      <c r="E429" s="60" t="n"/>
      <c r="F429" s="59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</row>
    <row r="430" ht="15" customHeight="1" s="150">
      <c r="A430" s="62" t="n"/>
      <c r="B430" s="62" t="n"/>
      <c r="C430" s="62" t="n"/>
      <c r="D430" s="59" t="n"/>
      <c r="E430" s="60" t="n"/>
      <c r="F430" s="59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</row>
    <row r="431" ht="15" customHeight="1" s="150">
      <c r="A431" s="62" t="n"/>
      <c r="B431" s="62" t="n"/>
      <c r="C431" s="62" t="n"/>
      <c r="D431" s="59" t="n"/>
      <c r="E431" s="60" t="n"/>
      <c r="F431" s="59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</row>
    <row r="432" ht="15" customHeight="1" s="150">
      <c r="A432" s="62" t="n"/>
      <c r="B432" s="62" t="n"/>
      <c r="C432" s="62" t="n"/>
      <c r="D432" s="59" t="n"/>
      <c r="E432" s="60" t="n"/>
      <c r="F432" s="59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</row>
    <row r="433" ht="15" customHeight="1" s="150">
      <c r="A433" s="62" t="n"/>
      <c r="B433" s="62" t="n"/>
      <c r="C433" s="63" t="n"/>
      <c r="D433" s="59" t="n"/>
      <c r="E433" s="60" t="n"/>
      <c r="F433" s="59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</row>
    <row r="434" ht="15" customHeight="1" s="150">
      <c r="A434" s="62" t="n"/>
      <c r="B434" s="62" t="n"/>
      <c r="C434" s="58" t="n"/>
      <c r="D434" s="59" t="n"/>
      <c r="E434" s="60" t="n"/>
      <c r="F434" s="59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</row>
    <row r="435" ht="15" customHeight="1" s="150">
      <c r="A435" s="62" t="n"/>
      <c r="B435" s="62" t="n"/>
      <c r="C435" s="62" t="n"/>
      <c r="D435" s="59" t="n"/>
      <c r="E435" s="60" t="n"/>
      <c r="F435" s="59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</row>
    <row r="436" ht="15" customHeight="1" s="150">
      <c r="A436" s="62" t="n"/>
      <c r="B436" s="62" t="n"/>
      <c r="C436" s="63" t="n"/>
      <c r="D436" s="59" t="n"/>
      <c r="E436" s="60" t="n"/>
      <c r="F436" s="59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</row>
    <row r="437" ht="15" customHeight="1" s="150">
      <c r="A437" s="62" t="n"/>
      <c r="B437" s="62" t="n"/>
      <c r="C437" s="58" t="n"/>
      <c r="D437" s="59" t="n"/>
      <c r="E437" s="60" t="n"/>
      <c r="F437" s="59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</row>
    <row r="438" ht="15" customHeight="1" s="150">
      <c r="A438" s="62" t="n"/>
      <c r="B438" s="62" t="n"/>
      <c r="C438" s="62" t="n"/>
      <c r="D438" s="59" t="n"/>
      <c r="E438" s="60" t="n"/>
      <c r="F438" s="59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</row>
    <row r="439" ht="15" customHeight="1" s="150">
      <c r="A439" s="62" t="n"/>
      <c r="B439" s="62" t="n"/>
      <c r="C439" s="63" t="n"/>
      <c r="D439" s="59" t="n"/>
      <c r="E439" s="60" t="n"/>
      <c r="F439" s="59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</row>
    <row r="440" ht="15" customHeight="1" s="150">
      <c r="A440" s="62" t="n"/>
      <c r="B440" s="62" t="n"/>
      <c r="C440" s="58" t="n"/>
      <c r="D440" s="59" t="n"/>
      <c r="E440" s="59" t="n"/>
      <c r="F440" s="59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</row>
    <row r="441" ht="15" customHeight="1" s="150">
      <c r="A441" s="62" t="n"/>
      <c r="B441" s="62" t="n"/>
      <c r="C441" s="62" t="n"/>
      <c r="D441" s="59" t="n"/>
      <c r="E441" s="59" t="n"/>
      <c r="F441" s="59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</row>
    <row r="442" ht="15" customHeight="1" s="150">
      <c r="A442" s="62" t="n"/>
      <c r="B442" s="62" t="n"/>
      <c r="C442" s="62" t="n"/>
      <c r="D442" s="59" t="n"/>
      <c r="E442" s="59" t="n"/>
      <c r="F442" s="59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</row>
    <row r="443" ht="15" customHeight="1" s="150">
      <c r="A443" s="62" t="n"/>
      <c r="B443" s="62" t="n"/>
      <c r="C443" s="62" t="n"/>
      <c r="D443" s="59" t="n"/>
      <c r="E443" s="59" t="n"/>
      <c r="F443" s="58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</row>
    <row r="444" ht="25.5" customHeight="1" s="150">
      <c r="A444" s="62" t="n"/>
      <c r="B444" s="62" t="n"/>
      <c r="C444" s="62" t="n"/>
      <c r="D444" s="59" t="n"/>
      <c r="E444" s="59" t="n"/>
      <c r="F444" s="59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</row>
    <row r="445" ht="15" customHeight="1" s="150">
      <c r="A445" s="62" t="n"/>
      <c r="B445" s="62" t="n"/>
      <c r="C445" s="62" t="n"/>
      <c r="D445" s="59" t="n"/>
      <c r="E445" s="59" t="n"/>
      <c r="F445" s="59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</row>
    <row r="446" ht="15" customHeight="1" s="150">
      <c r="A446" s="62" t="n"/>
      <c r="B446" s="62" t="n"/>
      <c r="C446" s="62" t="n"/>
      <c r="D446" s="59" t="n"/>
      <c r="E446" s="59" t="n"/>
      <c r="F446" s="59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</row>
    <row r="447" ht="15" customHeight="1" s="150">
      <c r="A447" s="62" t="n"/>
      <c r="B447" s="62" t="n"/>
      <c r="C447" s="62" t="n"/>
      <c r="D447" s="59" t="n"/>
      <c r="E447" s="59" t="n"/>
      <c r="F447" s="59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</row>
    <row r="448" ht="12.75" customHeight="1" s="150">
      <c r="A448" s="62" t="n"/>
      <c r="B448" s="62" t="n"/>
      <c r="C448" s="63" t="n"/>
      <c r="D448" s="59" t="n"/>
      <c r="E448" s="59" t="n"/>
      <c r="F448" s="59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</row>
    <row r="449" ht="15" customHeight="1" s="150">
      <c r="A449" s="62" t="n"/>
      <c r="B449" s="62" t="n"/>
      <c r="C449" s="58" t="n"/>
      <c r="D449" s="59" t="n"/>
      <c r="E449" s="59" t="n"/>
      <c r="F449" s="59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</row>
    <row r="450" ht="15" customHeight="1" s="150">
      <c r="A450" s="62" t="n"/>
      <c r="B450" s="62" t="n"/>
      <c r="C450" s="62" t="n"/>
      <c r="D450" s="59" t="n"/>
      <c r="E450" s="59" t="n"/>
      <c r="F450" s="59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</row>
    <row r="451" ht="15" customHeight="1" s="150">
      <c r="A451" s="62" t="n"/>
      <c r="B451" s="62" t="n"/>
      <c r="C451" s="62" t="n"/>
      <c r="D451" s="59" t="n"/>
      <c r="E451" s="59" t="n"/>
      <c r="F451" s="59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</row>
    <row r="452" ht="15" customHeight="1" s="150">
      <c r="A452" s="62" t="n"/>
      <c r="B452" s="62" t="n"/>
      <c r="C452" s="62" t="n"/>
      <c r="D452" s="59" t="n"/>
      <c r="E452" s="59" t="n"/>
      <c r="F452" s="59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</row>
    <row r="453" ht="25.5" customHeight="1" s="150">
      <c r="A453" s="62" t="n"/>
      <c r="B453" s="62" t="n"/>
      <c r="C453" s="62" t="n"/>
      <c r="D453" s="59" t="n"/>
      <c r="E453" s="59" t="n"/>
      <c r="F453" s="59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</row>
    <row r="454" ht="25.5" customHeight="1" s="150">
      <c r="A454" s="62" t="n"/>
      <c r="B454" s="62" t="n"/>
      <c r="C454" s="62" t="n"/>
      <c r="D454" s="59" t="n"/>
      <c r="E454" s="59" t="n"/>
      <c r="F454" s="59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</row>
    <row r="455" ht="15" customHeight="1" s="150">
      <c r="A455" s="62" t="n"/>
      <c r="B455" s="62" t="n"/>
      <c r="C455" s="63" t="n"/>
      <c r="D455" s="59" t="n"/>
      <c r="E455" s="59" t="n"/>
      <c r="F455" s="59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</row>
    <row r="456" ht="15" customHeight="1" s="150">
      <c r="A456" s="62" t="n"/>
      <c r="B456" s="62" t="n"/>
      <c r="C456" s="58" t="n"/>
      <c r="D456" s="59" t="n"/>
      <c r="E456" s="59" t="n"/>
      <c r="F456" s="59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</row>
    <row r="457" ht="15" customHeight="1" s="150">
      <c r="A457" s="62" t="n"/>
      <c r="B457" s="62" t="n"/>
      <c r="C457" s="62" t="n"/>
      <c r="D457" s="59" t="n"/>
      <c r="E457" s="59" t="n"/>
      <c r="F457" s="59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</row>
    <row r="458" ht="15" customHeight="1" s="150">
      <c r="A458" s="62" t="n"/>
      <c r="B458" s="63" t="n"/>
      <c r="C458" s="63" t="n"/>
      <c r="D458" s="59" t="n"/>
      <c r="E458" s="59" t="n"/>
      <c r="F458" s="59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</row>
    <row r="459" ht="15" customHeight="1" s="150">
      <c r="A459" s="62" t="n"/>
      <c r="B459" s="58" t="n"/>
      <c r="C459" s="58" t="n"/>
      <c r="D459" s="59" t="n"/>
      <c r="E459" s="60" t="n"/>
      <c r="F459" s="59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</row>
    <row r="460" ht="15" customHeight="1" s="150">
      <c r="A460" s="62" t="n"/>
      <c r="B460" s="62" t="n"/>
      <c r="C460" s="62" t="n"/>
      <c r="D460" s="59" t="n"/>
      <c r="E460" s="60" t="n"/>
      <c r="F460" s="59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</row>
    <row r="461" ht="15" customHeight="1" s="150">
      <c r="A461" s="62" t="n"/>
      <c r="B461" s="62" t="n"/>
      <c r="C461" s="62" t="n"/>
      <c r="D461" s="59" t="n"/>
      <c r="E461" s="60" t="n"/>
      <c r="F461" s="59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</row>
    <row r="462" ht="25.5" customHeight="1" s="150">
      <c r="A462" s="62" t="n"/>
      <c r="B462" s="62" t="n"/>
      <c r="C462" s="63" t="n"/>
      <c r="D462" s="59" t="n"/>
      <c r="E462" s="60" t="n"/>
      <c r="F462" s="59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</row>
    <row r="463" ht="25.5" customHeight="1" s="150">
      <c r="A463" s="62" t="n"/>
      <c r="B463" s="62" t="n"/>
      <c r="C463" s="58" t="n"/>
      <c r="D463" s="59" t="n"/>
      <c r="E463" s="60" t="n"/>
      <c r="F463" s="59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</row>
    <row r="464" ht="12.75" customHeight="1" s="150">
      <c r="A464" s="62" t="n"/>
      <c r="B464" s="62" t="n"/>
      <c r="C464" s="62" t="n"/>
      <c r="D464" s="59" t="n"/>
      <c r="E464" s="60" t="n"/>
      <c r="F464" s="59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</row>
    <row r="465" ht="15" customHeight="1" s="150">
      <c r="A465" s="62" t="n"/>
      <c r="B465" s="62" t="n"/>
      <c r="C465" s="62" t="n"/>
      <c r="D465" s="59" t="n"/>
      <c r="E465" s="60" t="n"/>
      <c r="F465" s="59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</row>
    <row r="466" ht="15" customHeight="1" s="150">
      <c r="A466" s="62" t="n"/>
      <c r="B466" s="62" t="n"/>
      <c r="C466" s="62" t="n"/>
      <c r="D466" s="59" t="n"/>
      <c r="E466" s="60" t="n"/>
      <c r="F466" s="59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</row>
    <row r="467" ht="15" customHeight="1" s="150">
      <c r="A467" s="62" t="n"/>
      <c r="B467" s="62" t="n"/>
      <c r="C467" s="62" t="n"/>
      <c r="D467" s="59" t="n"/>
      <c r="E467" s="60" t="n"/>
      <c r="F467" s="59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</row>
    <row r="468" ht="15" customHeight="1" s="150">
      <c r="A468" s="62" t="n"/>
      <c r="B468" s="62" t="n"/>
      <c r="C468" s="62" t="n"/>
      <c r="D468" s="59" t="n"/>
      <c r="E468" s="60" t="n"/>
      <c r="F468" s="59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</row>
    <row r="469" ht="15" customHeight="1" s="150">
      <c r="A469" s="62" t="n"/>
      <c r="B469" s="62" t="n"/>
      <c r="C469" s="62" t="n"/>
      <c r="D469" s="59" t="n"/>
      <c r="E469" s="60" t="n"/>
      <c r="F469" s="59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</row>
    <row r="470" ht="15" customHeight="1" s="150">
      <c r="A470" s="62" t="n"/>
      <c r="B470" s="62" t="n"/>
      <c r="C470" s="63" t="n"/>
      <c r="D470" s="59" t="n"/>
      <c r="E470" s="60" t="n"/>
      <c r="F470" s="59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</row>
    <row r="471" ht="15" customHeight="1" s="150">
      <c r="A471" s="62" t="n"/>
      <c r="B471" s="62" t="n"/>
      <c r="C471" s="58" t="n"/>
      <c r="D471" s="59" t="n"/>
      <c r="E471" s="60" t="n"/>
      <c r="F471" s="59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</row>
    <row r="472" ht="15" customHeight="1" s="150">
      <c r="A472" s="62" t="n"/>
      <c r="B472" s="62" t="n"/>
      <c r="C472" s="62" t="n"/>
      <c r="D472" s="59" t="n"/>
      <c r="E472" s="60" t="n"/>
      <c r="F472" s="59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</row>
    <row r="473" ht="15" customHeight="1" s="150">
      <c r="A473" s="62" t="n"/>
      <c r="B473" s="62" t="n"/>
      <c r="C473" s="62" t="n"/>
      <c r="D473" s="59" t="n"/>
      <c r="E473" s="60" t="n"/>
      <c r="F473" s="59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</row>
    <row r="474" ht="15" customHeight="1" s="150">
      <c r="A474" s="62" t="n"/>
      <c r="B474" s="62" t="n"/>
      <c r="C474" s="62" t="n"/>
      <c r="D474" s="59" t="n"/>
      <c r="E474" s="60" t="n"/>
      <c r="F474" s="59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</row>
    <row r="475" ht="15" customHeight="1" s="150">
      <c r="A475" s="62" t="n"/>
      <c r="B475" s="62" t="n"/>
      <c r="C475" s="63" t="n"/>
      <c r="D475" s="59" t="n"/>
      <c r="E475" s="60" t="n"/>
      <c r="F475" s="59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</row>
    <row r="476" ht="15" customHeight="1" s="150">
      <c r="A476" s="62" t="n"/>
      <c r="B476" s="62" t="n"/>
      <c r="C476" s="58" t="n"/>
      <c r="D476" s="59" t="n"/>
      <c r="E476" s="60" t="n"/>
      <c r="F476" s="59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</row>
    <row r="477" ht="15" customHeight="1" s="150">
      <c r="A477" s="62" t="n"/>
      <c r="B477" s="62" t="n"/>
      <c r="C477" s="62" t="n"/>
      <c r="D477" s="59" t="n"/>
      <c r="E477" s="60" t="n"/>
      <c r="F477" s="59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</row>
    <row r="478" ht="15" customHeight="1" s="150">
      <c r="A478" s="62" t="n"/>
      <c r="B478" s="62" t="n"/>
      <c r="C478" s="63" t="n"/>
      <c r="D478" s="59" t="n"/>
      <c r="E478" s="60" t="n"/>
      <c r="F478" s="59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</row>
    <row r="479" ht="15" customHeight="1" s="150">
      <c r="A479" s="62" t="n"/>
      <c r="B479" s="62" t="n"/>
      <c r="C479" s="58" t="n"/>
      <c r="D479" s="59" t="n"/>
      <c r="E479" s="60" t="n"/>
      <c r="F479" s="59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</row>
    <row r="480" ht="15" customHeight="1" s="150">
      <c r="A480" s="62" t="n"/>
      <c r="B480" s="62" t="n"/>
      <c r="C480" s="62" t="n"/>
      <c r="D480" s="59" t="n"/>
      <c r="E480" s="60" t="n"/>
      <c r="F480" s="59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</row>
    <row r="481" ht="15" customHeight="1" s="150">
      <c r="A481" s="62" t="n"/>
      <c r="B481" s="62" t="n"/>
      <c r="C481" s="62" t="n"/>
      <c r="D481" s="59" t="n"/>
      <c r="E481" s="60" t="n"/>
      <c r="F481" s="59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</row>
    <row r="482" ht="15" customHeight="1" s="150">
      <c r="A482" s="62" t="n"/>
      <c r="B482" s="62" t="n"/>
      <c r="C482" s="62" t="n"/>
      <c r="D482" s="59" t="n"/>
      <c r="E482" s="60" t="n"/>
      <c r="F482" s="59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</row>
    <row r="483" ht="15" customHeight="1" s="150">
      <c r="A483" s="62" t="n"/>
      <c r="B483" s="62" t="n"/>
      <c r="C483" s="62" t="n"/>
      <c r="D483" s="59" t="n"/>
      <c r="E483" s="60" t="n"/>
      <c r="F483" s="59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</row>
    <row r="484" ht="15" customHeight="1" s="150">
      <c r="A484" s="62" t="n"/>
      <c r="B484" s="62" t="n"/>
      <c r="C484" s="62" t="n"/>
      <c r="D484" s="59" t="n"/>
      <c r="E484" s="60" t="n"/>
      <c r="F484" s="59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</row>
    <row r="485" ht="15" customHeight="1" s="150">
      <c r="A485" s="63" t="n"/>
      <c r="B485" s="62" t="n"/>
      <c r="C485" s="63" t="n"/>
      <c r="D485" s="59" t="n"/>
      <c r="E485" s="60" t="n"/>
      <c r="F485" s="59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</row>
    <row r="486" ht="25.5" customHeight="1" s="150">
      <c r="A486" s="58" t="n"/>
      <c r="B486" s="58" t="n"/>
      <c r="C486" s="58" t="n"/>
      <c r="D486" s="59" t="n"/>
      <c r="E486" s="60" t="n"/>
      <c r="F486" s="59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</row>
    <row r="487" ht="15" customHeight="1" s="150">
      <c r="A487" s="62" t="n"/>
      <c r="B487" s="62" t="n"/>
      <c r="C487" s="62" t="n"/>
      <c r="D487" s="59" t="n"/>
      <c r="E487" s="60" t="n"/>
      <c r="F487" s="59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</row>
    <row r="488" ht="15" customHeight="1" s="150">
      <c r="A488" s="62" t="n"/>
      <c r="B488" s="62" t="n"/>
      <c r="C488" s="62" t="n"/>
      <c r="D488" s="59" t="n"/>
      <c r="E488" s="60" t="n"/>
      <c r="F488" s="59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</row>
    <row r="489" ht="15" customHeight="1" s="150">
      <c r="A489" s="62" t="n"/>
      <c r="B489" s="62" t="n"/>
      <c r="C489" s="63" t="n"/>
      <c r="D489" s="59" t="n"/>
      <c r="E489" s="60" t="n"/>
      <c r="F489" s="59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</row>
    <row r="490" ht="12.75" customHeight="1" s="150">
      <c r="A490" s="62" t="n"/>
      <c r="B490" s="62" t="n"/>
      <c r="C490" s="58" t="n"/>
      <c r="D490" s="59" t="n"/>
      <c r="E490" s="60" t="n"/>
      <c r="F490" s="59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</row>
    <row r="491" ht="15" customHeight="1" s="150">
      <c r="A491" s="62" t="n"/>
      <c r="B491" s="62" t="n"/>
      <c r="C491" s="62" t="n"/>
      <c r="D491" s="59" t="n"/>
      <c r="E491" s="60" t="n"/>
      <c r="F491" s="59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</row>
    <row r="492" ht="15" customHeight="1" s="150">
      <c r="A492" s="62" t="n"/>
      <c r="B492" s="62" t="n"/>
      <c r="C492" s="62" t="n"/>
      <c r="D492" s="59" t="n"/>
      <c r="E492" s="60" t="n"/>
      <c r="F492" s="59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</row>
    <row r="493" ht="15" customHeight="1" s="150">
      <c r="A493" s="62" t="n"/>
      <c r="B493" s="62" t="n"/>
      <c r="C493" s="62" t="n"/>
      <c r="D493" s="59" t="n"/>
      <c r="E493" s="60" t="n"/>
      <c r="F493" s="59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</row>
    <row r="494" ht="15" customHeight="1" s="150">
      <c r="A494" s="62" t="n"/>
      <c r="B494" s="62" t="n"/>
      <c r="C494" s="62" t="n"/>
      <c r="D494" s="59" t="n"/>
      <c r="E494" s="60" t="n"/>
      <c r="F494" s="59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</row>
    <row r="495" ht="25.5" customHeight="1" s="150">
      <c r="A495" s="62" t="n"/>
      <c r="B495" s="62" t="n"/>
      <c r="C495" s="62" t="n"/>
      <c r="D495" s="59" t="n"/>
      <c r="E495" s="60" t="n"/>
      <c r="F495" s="59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</row>
    <row r="496" ht="25.5" customHeight="1" s="150">
      <c r="A496" s="62" t="n"/>
      <c r="B496" s="62" t="n"/>
      <c r="C496" s="62" t="n"/>
      <c r="D496" s="59" t="n"/>
      <c r="E496" s="60" t="n"/>
      <c r="F496" s="59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</row>
    <row r="497" ht="15" customHeight="1" s="150">
      <c r="A497" s="62" t="n"/>
      <c r="B497" s="62" t="n"/>
      <c r="C497" s="63" t="n"/>
      <c r="D497" s="59" t="n"/>
      <c r="E497" s="60" t="n"/>
      <c r="F497" s="59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</row>
    <row r="498" ht="15" customHeight="1" s="150">
      <c r="A498" s="62" t="n"/>
      <c r="B498" s="62" t="n"/>
      <c r="C498" s="58" t="n"/>
      <c r="D498" s="59" t="n"/>
      <c r="E498" s="60" t="n"/>
      <c r="F498" s="59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</row>
    <row r="499" ht="15" customHeight="1" s="150">
      <c r="A499" s="62" t="n"/>
      <c r="B499" s="62" t="n"/>
      <c r="C499" s="62" t="n"/>
      <c r="D499" s="59" t="n"/>
      <c r="E499" s="60" t="n"/>
      <c r="F499" s="59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</row>
    <row r="500" ht="15" customHeight="1" s="150">
      <c r="A500" s="62" t="n"/>
      <c r="B500" s="62" t="n"/>
      <c r="C500" s="62" t="n"/>
      <c r="D500" s="59" t="n"/>
      <c r="E500" s="60" t="n"/>
      <c r="F500" s="59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</row>
    <row r="501" ht="15" customHeight="1" s="150">
      <c r="A501" s="62" t="n"/>
      <c r="B501" s="62" t="n"/>
      <c r="C501" s="62" t="n"/>
      <c r="D501" s="59" t="n"/>
      <c r="E501" s="60" t="n"/>
      <c r="F501" s="59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</row>
    <row r="502" ht="15" customHeight="1" s="150">
      <c r="A502" s="62" t="n"/>
      <c r="B502" s="62" t="n"/>
      <c r="C502" s="63" t="n"/>
      <c r="D502" s="59" t="n"/>
      <c r="E502" s="60" t="n"/>
      <c r="F502" s="59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</row>
    <row r="503" ht="15" customHeight="1" s="150">
      <c r="A503" s="62" t="n"/>
      <c r="B503" s="62" t="n"/>
      <c r="C503" s="58" t="n"/>
      <c r="D503" s="59" t="n"/>
      <c r="E503" s="60" t="n"/>
      <c r="F503" s="59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</row>
    <row r="504" ht="25.5" customHeight="1" s="150">
      <c r="A504" s="62" t="n"/>
      <c r="B504" s="62" t="n"/>
      <c r="C504" s="62" t="n"/>
      <c r="D504" s="59" t="n"/>
      <c r="E504" s="60" t="n"/>
      <c r="F504" s="59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</row>
    <row r="505" ht="25.5" customHeight="1" s="150">
      <c r="A505" s="62" t="n"/>
      <c r="B505" s="62" t="n"/>
      <c r="C505" s="62" t="n"/>
      <c r="D505" s="59" t="n"/>
      <c r="E505" s="60" t="n"/>
      <c r="F505" s="59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</row>
    <row r="506" ht="12.75" customHeight="1" s="150">
      <c r="A506" s="62" t="n"/>
      <c r="B506" s="62" t="n"/>
      <c r="C506" s="58" t="n"/>
      <c r="D506" s="59" t="n"/>
      <c r="E506" s="60" t="n"/>
      <c r="F506" s="59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</row>
    <row r="507" ht="15" customHeight="1" s="150">
      <c r="A507" s="62" t="n"/>
      <c r="B507" s="62" t="n"/>
      <c r="C507" s="62" t="n"/>
      <c r="D507" s="59" t="n"/>
      <c r="E507" s="60" t="n"/>
      <c r="F507" s="59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</row>
    <row r="508" ht="25.5" customHeight="1" s="150">
      <c r="A508" s="62" t="n"/>
      <c r="B508" s="62" t="n"/>
      <c r="C508" s="63" t="n"/>
      <c r="D508" s="59" t="n"/>
      <c r="E508" s="60" t="n"/>
      <c r="F508" s="59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</row>
    <row r="509" ht="15" customHeight="1" s="150">
      <c r="A509" s="62" t="n"/>
      <c r="B509" s="63" t="n"/>
      <c r="C509" s="62" t="n"/>
      <c r="D509" s="59" t="n"/>
      <c r="E509" s="60" t="n"/>
      <c r="F509" s="59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</row>
    <row r="510" ht="15" customHeight="1" s="150">
      <c r="A510" s="62" t="n"/>
      <c r="B510" s="58" t="n"/>
      <c r="C510" s="58" t="n"/>
      <c r="D510" s="59" t="n"/>
      <c r="E510" s="59" t="n"/>
      <c r="F510" s="59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</row>
    <row r="511" ht="15" customHeight="1" s="150">
      <c r="A511" s="62" t="n"/>
      <c r="B511" s="62" t="n"/>
      <c r="C511" s="62" t="n"/>
      <c r="D511" s="59" t="n"/>
      <c r="E511" s="59" t="n"/>
      <c r="F511" s="59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</row>
    <row r="512" ht="15" customHeight="1" s="150">
      <c r="A512" s="62" t="n"/>
      <c r="B512" s="62" t="n"/>
      <c r="C512" s="62" t="n"/>
      <c r="D512" s="59" t="n"/>
      <c r="E512" s="59" t="n"/>
      <c r="F512" s="59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</row>
    <row r="513" ht="15" customHeight="1" s="150">
      <c r="A513" s="62" t="n"/>
      <c r="B513" s="62" t="n"/>
      <c r="C513" s="62" t="n"/>
      <c r="D513" s="59" t="n"/>
      <c r="E513" s="59" t="n"/>
      <c r="F513" s="59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</row>
    <row r="514" ht="15" customHeight="1" s="150">
      <c r="A514" s="62" t="n"/>
      <c r="B514" s="62" t="n"/>
      <c r="C514" s="63" t="n"/>
      <c r="D514" s="59" t="n"/>
      <c r="E514" s="59" t="n"/>
      <c r="F514" s="59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</row>
    <row r="515" ht="15" customHeight="1" s="150">
      <c r="A515" s="62" t="n"/>
      <c r="B515" s="62" t="n"/>
      <c r="C515" s="58" t="n"/>
      <c r="D515" s="59" t="n"/>
      <c r="E515" s="59" t="n"/>
      <c r="F515" s="59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</row>
    <row r="516" ht="15" customHeight="1" s="150">
      <c r="A516" s="62" t="n"/>
      <c r="B516" s="62" t="n"/>
      <c r="C516" s="62" t="n"/>
      <c r="D516" s="59" t="n"/>
      <c r="E516" s="59" t="n"/>
      <c r="F516" s="59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</row>
    <row r="517" ht="15" customHeight="1" s="150">
      <c r="A517" s="62" t="n"/>
      <c r="B517" s="62" t="n"/>
      <c r="C517" s="62" t="n"/>
      <c r="D517" s="59" t="n"/>
      <c r="E517" s="59" t="n"/>
      <c r="F517" s="59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</row>
    <row r="518" ht="15" customHeight="1" s="150">
      <c r="A518" s="62" t="n"/>
      <c r="B518" s="62" t="n"/>
      <c r="C518" s="62" t="n"/>
      <c r="D518" s="59" t="n"/>
      <c r="E518" s="59" t="n"/>
      <c r="F518" s="59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</row>
    <row r="519" ht="15" customHeight="1" s="150">
      <c r="A519" s="62" t="n"/>
      <c r="B519" s="62" t="n"/>
      <c r="C519" s="63" t="n"/>
      <c r="D519" s="59" t="n"/>
      <c r="E519" s="59" t="n"/>
      <c r="F519" s="59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</row>
    <row r="520" ht="15" customHeight="1" s="150">
      <c r="A520" s="62" t="n"/>
      <c r="B520" s="62" t="n"/>
      <c r="C520" s="60" t="n"/>
      <c r="D520" s="59" t="n"/>
      <c r="E520" s="59" t="n"/>
      <c r="F520" s="59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</row>
    <row r="521" ht="15" customHeight="1" s="150">
      <c r="A521" s="62" t="n"/>
      <c r="B521" s="62" t="n"/>
      <c r="C521" s="58" t="n"/>
      <c r="D521" s="65" t="n"/>
      <c r="E521" s="59" t="n"/>
      <c r="F521" s="59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</row>
    <row r="522" ht="25.5" customHeight="1" s="150">
      <c r="A522" s="62" t="n"/>
      <c r="B522" s="62" t="n"/>
      <c r="C522" s="62" t="n"/>
      <c r="D522" s="59" t="n"/>
      <c r="E522" s="59" t="n"/>
      <c r="F522" s="59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1" t="n"/>
      <c r="X522" s="61" t="n"/>
      <c r="Y522" s="61" t="n"/>
      <c r="Z522" s="61" t="n"/>
    </row>
    <row r="523" ht="15" customHeight="1" s="150">
      <c r="A523" s="62" t="n"/>
      <c r="B523" s="62" t="n"/>
      <c r="C523" s="58" t="n"/>
      <c r="D523" s="65" t="n"/>
      <c r="E523" s="59" t="n"/>
      <c r="F523" s="59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1" t="n"/>
      <c r="X523" s="61" t="n"/>
      <c r="Y523" s="61" t="n"/>
      <c r="Z523" s="61" t="n"/>
    </row>
    <row r="524" ht="15" customHeight="1" s="150">
      <c r="A524" s="62" t="n"/>
      <c r="B524" s="62" t="n"/>
      <c r="C524" s="62" t="n"/>
      <c r="D524" s="59" t="n"/>
      <c r="E524" s="59" t="n"/>
      <c r="F524" s="59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1" t="n"/>
      <c r="X524" s="61" t="n"/>
      <c r="Y524" s="61" t="n"/>
      <c r="Z524" s="61" t="n"/>
    </row>
    <row r="525" ht="25.5" customHeight="1" s="150">
      <c r="A525" s="62" t="n"/>
      <c r="B525" s="62" t="n"/>
      <c r="C525" s="63" t="n"/>
      <c r="D525" s="59" t="n"/>
      <c r="E525" s="59" t="n"/>
      <c r="F525" s="59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1" t="n"/>
      <c r="X525" s="61" t="n"/>
      <c r="Y525" s="61" t="n"/>
      <c r="Z525" s="61" t="n"/>
    </row>
    <row r="526" ht="15" customHeight="1" s="150">
      <c r="A526" s="62" t="n"/>
      <c r="B526" s="62" t="n"/>
      <c r="C526" s="58" t="n"/>
      <c r="D526" s="59" t="n"/>
      <c r="E526" s="59" t="n"/>
      <c r="F526" s="59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1" t="n"/>
      <c r="X526" s="61" t="n"/>
      <c r="Y526" s="61" t="n"/>
      <c r="Z526" s="61" t="n"/>
    </row>
    <row r="527" ht="15" customHeight="1" s="150">
      <c r="A527" s="62" t="n"/>
      <c r="B527" s="62" t="n"/>
      <c r="C527" s="62" t="n"/>
      <c r="D527" s="59" t="n"/>
      <c r="E527" s="59" t="n"/>
      <c r="F527" s="59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1" t="n"/>
      <c r="X527" s="61" t="n"/>
      <c r="Y527" s="61" t="n"/>
      <c r="Z527" s="61" t="n"/>
    </row>
    <row r="528" ht="15" customHeight="1" s="150">
      <c r="A528" s="62" t="n"/>
      <c r="B528" s="62" t="n"/>
      <c r="C528" s="62" t="n"/>
      <c r="D528" s="59" t="n"/>
      <c r="E528" s="59" t="n"/>
      <c r="F528" s="59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1" t="n"/>
      <c r="X528" s="61" t="n"/>
      <c r="Y528" s="61" t="n"/>
      <c r="Z528" s="61" t="n"/>
    </row>
    <row r="529" ht="15" customHeight="1" s="150">
      <c r="A529" s="62" t="n"/>
      <c r="B529" s="62" t="n"/>
      <c r="C529" s="62" t="n"/>
      <c r="D529" s="59" t="n"/>
      <c r="E529" s="59" t="n"/>
      <c r="F529" s="59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1" t="n"/>
      <c r="X529" s="61" t="n"/>
      <c r="Y529" s="61" t="n"/>
      <c r="Z529" s="61" t="n"/>
    </row>
    <row r="530" ht="15" customHeight="1" s="150">
      <c r="A530" s="62" t="n"/>
      <c r="B530" s="62" t="n"/>
      <c r="C530" s="62" t="n"/>
      <c r="D530" s="59" t="n"/>
      <c r="E530" s="59" t="n"/>
      <c r="F530" s="59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1" t="n"/>
      <c r="X530" s="61" t="n"/>
      <c r="Y530" s="61" t="n"/>
      <c r="Z530" s="61" t="n"/>
    </row>
    <row r="531" ht="15" customHeight="1" s="150">
      <c r="A531" s="62" t="n"/>
      <c r="B531" s="62" t="n"/>
      <c r="C531" s="63" t="n"/>
      <c r="D531" s="59" t="n"/>
      <c r="E531" s="59" t="n"/>
      <c r="F531" s="59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1" t="n"/>
      <c r="X531" s="61" t="n"/>
      <c r="Y531" s="61" t="n"/>
      <c r="Z531" s="61" t="n"/>
    </row>
    <row r="532" ht="25.5" customHeight="1" s="150">
      <c r="A532" s="62" t="n"/>
      <c r="B532" s="62" t="n"/>
      <c r="C532" s="58" t="n"/>
      <c r="D532" s="59" t="n"/>
      <c r="E532" s="59" t="n"/>
      <c r="F532" s="59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1" t="n"/>
      <c r="X532" s="61" t="n"/>
      <c r="Y532" s="61" t="n"/>
      <c r="Z532" s="61" t="n"/>
    </row>
    <row r="533" ht="12.75" customHeight="1" s="150">
      <c r="A533" s="62" t="n"/>
      <c r="B533" s="62" t="n"/>
      <c r="C533" s="63" t="n"/>
      <c r="D533" s="59" t="n"/>
      <c r="E533" s="59" t="n"/>
      <c r="F533" s="59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1" t="n"/>
      <c r="X533" s="61" t="n"/>
      <c r="Y533" s="61" t="n"/>
      <c r="Z533" s="61" t="n"/>
    </row>
    <row r="534" ht="15" customHeight="1" s="150">
      <c r="A534" s="62" t="n"/>
      <c r="B534" s="62" t="n"/>
      <c r="C534" s="58" t="n"/>
      <c r="D534" s="59" t="n"/>
      <c r="E534" s="59" t="n"/>
      <c r="F534" s="59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1" t="n"/>
      <c r="X534" s="61" t="n"/>
      <c r="Y534" s="61" t="n"/>
      <c r="Z534" s="61" t="n"/>
    </row>
    <row r="535" ht="15" customHeight="1" s="150">
      <c r="A535" s="62" t="n"/>
      <c r="B535" s="62" t="n"/>
      <c r="C535" s="62" t="n"/>
      <c r="D535" s="59" t="n"/>
      <c r="E535" s="59" t="n"/>
      <c r="F535" s="59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1" t="n"/>
      <c r="X535" s="61" t="n"/>
      <c r="Y535" s="61" t="n"/>
      <c r="Z535" s="61" t="n"/>
    </row>
    <row r="536" ht="15" customHeight="1" s="150">
      <c r="A536" s="62" t="n"/>
      <c r="B536" s="62" t="n"/>
      <c r="C536" s="62" t="n"/>
      <c r="D536" s="59" t="n"/>
      <c r="E536" s="59" t="n"/>
      <c r="F536" s="59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1" t="n"/>
      <c r="X536" s="61" t="n"/>
      <c r="Y536" s="61" t="n"/>
      <c r="Z536" s="61" t="n"/>
    </row>
    <row r="537" ht="15" customHeight="1" s="150">
      <c r="A537" s="62" t="n"/>
      <c r="B537" s="62" t="n"/>
      <c r="C537" s="62" t="n"/>
      <c r="D537" s="59" t="n"/>
      <c r="E537" s="59" t="n"/>
      <c r="F537" s="59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1" t="n"/>
      <c r="X537" s="61" t="n"/>
      <c r="Y537" s="61" t="n"/>
      <c r="Z537" s="61" t="n"/>
    </row>
    <row r="538" ht="15" customHeight="1" s="150">
      <c r="A538" s="62" t="n"/>
      <c r="B538" s="62" t="n"/>
      <c r="C538" s="62" t="n"/>
      <c r="D538" s="59" t="n"/>
      <c r="E538" s="59" t="n"/>
      <c r="F538" s="59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1" t="n"/>
      <c r="X538" s="61" t="n"/>
      <c r="Y538" s="61" t="n"/>
      <c r="Z538" s="61" t="n"/>
    </row>
    <row r="539" ht="15" customHeight="1" s="150">
      <c r="A539" s="62" t="n"/>
      <c r="B539" s="62" t="n"/>
      <c r="C539" s="62" t="n"/>
      <c r="D539" s="59" t="n"/>
      <c r="E539" s="59" t="n"/>
      <c r="F539" s="59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1" t="n"/>
      <c r="X539" s="61" t="n"/>
      <c r="Y539" s="61" t="n"/>
      <c r="Z539" s="61" t="n"/>
    </row>
    <row r="540" ht="15" customHeight="1" s="150">
      <c r="A540" s="62" t="n"/>
      <c r="B540" s="62" t="n"/>
      <c r="C540" s="62" t="n"/>
      <c r="D540" s="59" t="n"/>
      <c r="E540" s="59" t="n"/>
      <c r="F540" s="59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1" t="n"/>
      <c r="X540" s="61" t="n"/>
      <c r="Y540" s="61" t="n"/>
      <c r="Z540" s="61" t="n"/>
    </row>
    <row r="541" ht="15" customHeight="1" s="150">
      <c r="A541" s="62" t="n"/>
      <c r="B541" s="62" t="n"/>
      <c r="C541" s="62" t="n"/>
      <c r="D541" s="59" t="n"/>
      <c r="E541" s="59" t="n"/>
      <c r="F541" s="59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1" t="n"/>
      <c r="X541" s="61" t="n"/>
      <c r="Y541" s="61" t="n"/>
      <c r="Z541" s="61" t="n"/>
    </row>
    <row r="542" ht="15" customHeight="1" s="150">
      <c r="A542" s="62" t="n"/>
      <c r="B542" s="62" t="n"/>
      <c r="C542" s="62" t="n"/>
      <c r="D542" s="59" t="n"/>
      <c r="E542" s="59" t="n"/>
      <c r="F542" s="59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1" t="n"/>
      <c r="X542" s="61" t="n"/>
      <c r="Y542" s="61" t="n"/>
      <c r="Z542" s="61" t="n"/>
    </row>
    <row r="543" ht="15" customHeight="1" s="150">
      <c r="A543" s="62" t="n"/>
      <c r="B543" s="62" t="n"/>
      <c r="C543" s="58" t="n"/>
      <c r="D543" s="59" t="n"/>
      <c r="E543" s="59" t="n"/>
      <c r="F543" s="59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1" t="n"/>
      <c r="X543" s="61" t="n"/>
      <c r="Y543" s="61" t="n"/>
      <c r="Z543" s="61" t="n"/>
    </row>
    <row r="544" ht="15" customHeight="1" s="150">
      <c r="A544" s="62" t="n"/>
      <c r="B544" s="62" t="n"/>
      <c r="C544" s="62" t="n"/>
      <c r="D544" s="59" t="n"/>
      <c r="E544" s="59" t="n"/>
      <c r="F544" s="59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1" t="n"/>
      <c r="X544" s="61" t="n"/>
      <c r="Y544" s="61" t="n"/>
      <c r="Z544" s="61" t="n"/>
    </row>
    <row r="545" ht="15" customHeight="1" s="150">
      <c r="A545" s="62" t="n"/>
      <c r="B545" s="62" t="n"/>
      <c r="C545" s="62" t="n"/>
      <c r="D545" s="59" t="n"/>
      <c r="E545" s="59" t="n"/>
      <c r="F545" s="59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1" t="n"/>
      <c r="X545" s="61" t="n"/>
      <c r="Y545" s="61" t="n"/>
      <c r="Z545" s="61" t="n"/>
    </row>
    <row r="546" ht="15" customHeight="1" s="150">
      <c r="A546" s="62" t="n"/>
      <c r="B546" s="62" t="n"/>
      <c r="C546" s="62" t="n"/>
      <c r="D546" s="59" t="n"/>
      <c r="E546" s="59" t="n"/>
      <c r="F546" s="59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1" t="n"/>
      <c r="X546" s="61" t="n"/>
      <c r="Y546" s="61" t="n"/>
      <c r="Z546" s="61" t="n"/>
    </row>
    <row r="547" ht="15" customHeight="1" s="150">
      <c r="A547" s="62" t="n"/>
      <c r="B547" s="62" t="n"/>
      <c r="C547" s="62" t="n"/>
      <c r="D547" s="59" t="n"/>
      <c r="E547" s="59" t="n"/>
      <c r="F547" s="59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1" t="n"/>
      <c r="X547" s="61" t="n"/>
      <c r="Y547" s="61" t="n"/>
      <c r="Z547" s="61" t="n"/>
    </row>
    <row r="548" ht="15" customHeight="1" s="150">
      <c r="A548" s="62" t="n"/>
      <c r="B548" s="62" t="n"/>
      <c r="C548" s="62" t="n"/>
      <c r="D548" s="59" t="n"/>
      <c r="E548" s="59" t="n"/>
      <c r="F548" s="59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1" t="n"/>
      <c r="X548" s="61" t="n"/>
      <c r="Y548" s="61" t="n"/>
      <c r="Z548" s="61" t="n"/>
    </row>
    <row r="549" ht="15" customHeight="1" s="150">
      <c r="A549" s="62" t="n"/>
      <c r="B549" s="62" t="n"/>
      <c r="C549" s="62" t="n"/>
      <c r="D549" s="59" t="n"/>
      <c r="E549" s="59" t="n"/>
      <c r="F549" s="59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1" t="n"/>
      <c r="X549" s="61" t="n"/>
      <c r="Y549" s="61" t="n"/>
      <c r="Z549" s="61" t="n"/>
    </row>
    <row r="550" ht="15" customHeight="1" s="150">
      <c r="A550" s="62" t="n"/>
      <c r="B550" s="62" t="n"/>
      <c r="C550" s="62" t="n"/>
      <c r="D550" s="59" t="n"/>
      <c r="E550" s="59" t="n"/>
      <c r="F550" s="59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1" t="n"/>
      <c r="X550" s="61" t="n"/>
      <c r="Y550" s="61" t="n"/>
      <c r="Z550" s="61" t="n"/>
    </row>
    <row r="551" ht="15" customHeight="1" s="150">
      <c r="A551" s="62" t="n"/>
      <c r="B551" s="62" t="n"/>
      <c r="C551" s="62" t="n"/>
      <c r="D551" s="59" t="n"/>
      <c r="E551" s="59" t="n"/>
      <c r="F551" s="59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1" t="n"/>
      <c r="X551" s="61" t="n"/>
      <c r="Y551" s="61" t="n"/>
      <c r="Z551" s="61" t="n"/>
    </row>
    <row r="552" ht="15" customHeight="1" s="150">
      <c r="A552" s="62" t="n"/>
      <c r="B552" s="62" t="n"/>
      <c r="C552" s="63" t="n"/>
      <c r="D552" s="59" t="n"/>
      <c r="E552" s="59" t="n"/>
      <c r="F552" s="59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1" t="n"/>
      <c r="X552" s="61" t="n"/>
      <c r="Y552" s="61" t="n"/>
      <c r="Z552" s="61" t="n"/>
    </row>
    <row r="553" ht="15" customHeight="1" s="150">
      <c r="A553" s="62" t="n"/>
      <c r="B553" s="62" t="n"/>
      <c r="C553" s="58" t="n"/>
      <c r="D553" s="59" t="n"/>
      <c r="E553" s="59" t="n"/>
      <c r="F553" s="59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1" t="n"/>
      <c r="X553" s="61" t="n"/>
      <c r="Y553" s="61" t="n"/>
      <c r="Z553" s="61" t="n"/>
    </row>
    <row r="554" ht="15" customHeight="1" s="150">
      <c r="A554" s="62" t="n"/>
      <c r="B554" s="62" t="n"/>
      <c r="C554" s="62" t="n"/>
      <c r="D554" s="59" t="n"/>
      <c r="E554" s="59" t="n"/>
      <c r="F554" s="59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1" t="n"/>
      <c r="X554" s="61" t="n"/>
      <c r="Y554" s="61" t="n"/>
      <c r="Z554" s="61" t="n"/>
    </row>
    <row r="555" ht="15" customHeight="1" s="150">
      <c r="A555" s="62" t="n"/>
      <c r="B555" s="62" t="n"/>
      <c r="C555" s="62" t="n"/>
      <c r="D555" s="59" t="n"/>
      <c r="E555" s="59" t="n"/>
      <c r="F555" s="59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1" t="n"/>
      <c r="X555" s="61" t="n"/>
      <c r="Y555" s="61" t="n"/>
      <c r="Z555" s="61" t="n"/>
    </row>
    <row r="556" ht="25.5" customHeight="1" s="150">
      <c r="A556" s="62" t="n"/>
      <c r="B556" s="62" t="n"/>
      <c r="C556" s="62" t="n"/>
      <c r="D556" s="59" t="n"/>
      <c r="E556" s="59" t="n"/>
      <c r="F556" s="59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1" t="n"/>
      <c r="X556" s="61" t="n"/>
      <c r="Y556" s="61" t="n"/>
      <c r="Z556" s="61" t="n"/>
    </row>
    <row r="557" ht="12.75" customHeight="1" s="150">
      <c r="A557" s="62" t="n"/>
      <c r="B557" s="62" t="n"/>
      <c r="C557" s="63" t="n"/>
      <c r="D557" s="59" t="n"/>
      <c r="E557" s="59" t="n"/>
      <c r="F557" s="59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1" t="n"/>
      <c r="X557" s="61" t="n"/>
      <c r="Y557" s="61" t="n"/>
      <c r="Z557" s="61" t="n"/>
    </row>
    <row r="558" ht="12.75" customHeight="1" s="150">
      <c r="A558" s="62" t="n"/>
      <c r="B558" s="62" t="n"/>
      <c r="C558" s="58" t="n"/>
      <c r="D558" s="59" t="n"/>
      <c r="E558" s="59" t="n"/>
      <c r="F558" s="59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1" t="n"/>
      <c r="X558" s="61" t="n"/>
      <c r="Y558" s="61" t="n"/>
      <c r="Z558" s="61" t="n"/>
    </row>
    <row r="559" ht="12.75" customHeight="1" s="150">
      <c r="A559" s="62" t="n"/>
      <c r="B559" s="62" t="n"/>
      <c r="C559" s="62" t="n"/>
      <c r="D559" s="59" t="n"/>
      <c r="E559" s="59" t="n"/>
      <c r="F559" s="59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1" t="n"/>
      <c r="X559" s="61" t="n"/>
      <c r="Y559" s="61" t="n"/>
      <c r="Z559" s="61" t="n"/>
    </row>
    <row r="560" ht="12.75" customHeight="1" s="150">
      <c r="A560" s="62" t="n"/>
      <c r="B560" s="63" t="n"/>
      <c r="C560" s="63" t="n"/>
      <c r="D560" s="59" t="n"/>
      <c r="E560" s="59" t="n"/>
      <c r="F560" s="59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1" t="n"/>
      <c r="X560" s="61" t="n"/>
      <c r="Y560" s="61" t="n"/>
      <c r="Z560" s="61" t="n"/>
    </row>
    <row r="561" ht="12.75" customHeight="1" s="150">
      <c r="A561" s="62" t="n"/>
      <c r="B561" s="58" t="n"/>
      <c r="C561" s="58" t="n"/>
      <c r="D561" s="59" t="n"/>
      <c r="E561" s="59" t="n"/>
      <c r="F561" s="59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1" t="n"/>
      <c r="X561" s="61" t="n"/>
      <c r="Y561" s="61" t="n"/>
      <c r="Z561" s="61" t="n"/>
    </row>
    <row r="562" ht="12.75" customHeight="1" s="150">
      <c r="A562" s="62" t="n"/>
      <c r="B562" s="62" t="n"/>
      <c r="C562" s="62" t="n"/>
      <c r="D562" s="59" t="n"/>
      <c r="E562" s="59" t="n"/>
      <c r="F562" s="59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1" t="n"/>
      <c r="X562" s="61" t="n"/>
      <c r="Y562" s="61" t="n"/>
      <c r="Z562" s="61" t="n"/>
    </row>
    <row r="563" ht="12.75" customHeight="1" s="150">
      <c r="A563" s="62" t="n"/>
      <c r="B563" s="62" t="n"/>
      <c r="C563" s="62" t="n"/>
      <c r="D563" s="59" t="n"/>
      <c r="E563" s="59" t="n"/>
      <c r="F563" s="59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1" t="n"/>
      <c r="X563" s="61" t="n"/>
      <c r="Y563" s="61" t="n"/>
      <c r="Z563" s="61" t="n"/>
    </row>
    <row r="564" ht="12.75" customHeight="1" s="150">
      <c r="A564" s="62" t="n"/>
      <c r="B564" s="62" t="n"/>
      <c r="C564" s="62" t="n"/>
      <c r="D564" s="59" t="n"/>
      <c r="E564" s="59" t="n"/>
      <c r="F564" s="59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1" t="n"/>
      <c r="X564" s="61" t="n"/>
      <c r="Y564" s="61" t="n"/>
      <c r="Z564" s="61" t="n"/>
    </row>
    <row r="565" ht="12.75" customHeight="1" s="150">
      <c r="A565" s="62" t="n"/>
      <c r="B565" s="62" t="n"/>
      <c r="C565" s="62" t="n"/>
      <c r="D565" s="59" t="n"/>
      <c r="E565" s="59" t="n"/>
      <c r="F565" s="59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1" t="n"/>
      <c r="X565" s="61" t="n"/>
      <c r="Y565" s="61" t="n"/>
      <c r="Z565" s="61" t="n"/>
    </row>
    <row r="566" ht="12.75" customHeight="1" s="150">
      <c r="A566" s="62" t="n"/>
      <c r="B566" s="62" t="n"/>
      <c r="C566" s="62" t="n"/>
      <c r="D566" s="59" t="n"/>
      <c r="E566" s="59" t="n"/>
      <c r="F566" s="59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1" t="n"/>
      <c r="X566" s="61" t="n"/>
      <c r="Y566" s="61" t="n"/>
      <c r="Z566" s="61" t="n"/>
    </row>
    <row r="567" ht="12.75" customHeight="1" s="150">
      <c r="A567" s="62" t="n"/>
      <c r="B567" s="62" t="n"/>
      <c r="C567" s="62" t="n"/>
      <c r="D567" s="59" t="n"/>
      <c r="E567" s="59" t="n"/>
      <c r="F567" s="59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1" t="n"/>
      <c r="X567" s="61" t="n"/>
      <c r="Y567" s="61" t="n"/>
      <c r="Z567" s="61" t="n"/>
    </row>
    <row r="568" ht="12.75" customHeight="1" s="150">
      <c r="A568" s="62" t="n"/>
      <c r="B568" s="62" t="n"/>
      <c r="C568" s="62" t="n"/>
      <c r="D568" s="59" t="n"/>
      <c r="E568" s="59" t="n"/>
      <c r="F568" s="59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1" t="n"/>
      <c r="X568" s="61" t="n"/>
      <c r="Y568" s="61" t="n"/>
      <c r="Z568" s="61" t="n"/>
    </row>
    <row r="569" ht="12.75" customHeight="1" s="150">
      <c r="A569" s="62" t="n"/>
      <c r="B569" s="62" t="n"/>
      <c r="C569" s="62" t="n"/>
      <c r="D569" s="59" t="n"/>
      <c r="E569" s="59" t="n"/>
      <c r="F569" s="59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1" t="n"/>
      <c r="X569" s="61" t="n"/>
      <c r="Y569" s="61" t="n"/>
      <c r="Z569" s="61" t="n"/>
    </row>
    <row r="570" ht="12.75" customHeight="1" s="150">
      <c r="A570" s="62" t="n"/>
      <c r="B570" s="62" t="n"/>
      <c r="C570" s="62" t="n"/>
      <c r="D570" s="59" t="n"/>
      <c r="E570" s="59" t="n"/>
      <c r="F570" s="59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1" t="n"/>
      <c r="X570" s="61" t="n"/>
      <c r="Y570" s="61" t="n"/>
      <c r="Z570" s="61" t="n"/>
    </row>
    <row r="571" ht="12.75" customHeight="1" s="150">
      <c r="A571" s="62" t="n"/>
      <c r="B571" s="62" t="n"/>
      <c r="C571" s="63" t="n"/>
      <c r="D571" s="59" t="n"/>
      <c r="E571" s="59" t="n"/>
      <c r="F571" s="59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1" t="n"/>
      <c r="X571" s="61" t="n"/>
      <c r="Y571" s="61" t="n"/>
      <c r="Z571" s="61" t="n"/>
    </row>
    <row r="572" ht="12.75" customHeight="1" s="150">
      <c r="A572" s="62" t="n"/>
      <c r="B572" s="62" t="n"/>
      <c r="C572" s="58" t="n"/>
      <c r="D572" s="59" t="n"/>
      <c r="E572" s="59" t="n"/>
      <c r="F572" s="59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1" t="n"/>
      <c r="X572" s="61" t="n"/>
      <c r="Y572" s="61" t="n"/>
      <c r="Z572" s="61" t="n"/>
    </row>
    <row r="573" ht="12.75" customHeight="1" s="150">
      <c r="A573" s="62" t="n"/>
      <c r="B573" s="62" t="n"/>
      <c r="C573" s="62" t="n"/>
      <c r="D573" s="59" t="n"/>
      <c r="E573" s="59" t="n"/>
      <c r="F573" s="59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1" t="n"/>
      <c r="X573" s="61" t="n"/>
      <c r="Y573" s="61" t="n"/>
      <c r="Z573" s="61" t="n"/>
    </row>
    <row r="574" ht="12.75" customHeight="1" s="150">
      <c r="A574" s="62" t="n"/>
      <c r="B574" s="62" t="n"/>
      <c r="C574" s="63" t="n"/>
      <c r="D574" s="59" t="n"/>
      <c r="E574" s="59" t="n"/>
      <c r="F574" s="59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1" t="n"/>
      <c r="X574" s="61" t="n"/>
      <c r="Y574" s="61" t="n"/>
      <c r="Z574" s="61" t="n"/>
    </row>
    <row r="575" ht="12.75" customHeight="1" s="150">
      <c r="A575" s="62" t="n"/>
      <c r="B575" s="58" t="n"/>
      <c r="C575" s="58" t="n"/>
      <c r="D575" s="59" t="n"/>
      <c r="E575" s="59" t="n"/>
      <c r="F575" s="59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1" t="n"/>
      <c r="X575" s="61" t="n"/>
      <c r="Y575" s="61" t="n"/>
      <c r="Z575" s="61" t="n"/>
    </row>
    <row r="576" ht="12.75" customHeight="1" s="150">
      <c r="A576" s="62" t="n"/>
      <c r="B576" s="62" t="n"/>
      <c r="C576" s="62" t="n"/>
      <c r="D576" s="59" t="n"/>
      <c r="E576" s="59" t="n"/>
      <c r="F576" s="59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1" t="n"/>
      <c r="X576" s="61" t="n"/>
      <c r="Y576" s="61" t="n"/>
      <c r="Z576" s="61" t="n"/>
    </row>
    <row r="577" ht="12.75" customHeight="1" s="150">
      <c r="A577" s="62" t="n"/>
      <c r="B577" s="63" t="n"/>
      <c r="C577" s="63" t="n"/>
      <c r="D577" s="59" t="n"/>
      <c r="E577" s="59" t="n"/>
      <c r="F577" s="59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1" t="n"/>
      <c r="X577" s="61" t="n"/>
      <c r="Y577" s="61" t="n"/>
      <c r="Z577" s="61" t="n"/>
    </row>
    <row r="578" ht="25.5" customHeight="1" s="150">
      <c r="A578" s="62" t="n"/>
      <c r="B578" s="58" t="n"/>
      <c r="C578" s="58" t="n"/>
      <c r="D578" s="59" t="n"/>
      <c r="E578" s="59" t="n"/>
      <c r="F578" s="59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1" t="n"/>
      <c r="X578" s="61" t="n"/>
      <c r="Y578" s="61" t="n"/>
      <c r="Z578" s="61" t="n"/>
    </row>
    <row r="579" ht="15" customHeight="1" s="150">
      <c r="A579" s="62" t="n"/>
      <c r="B579" s="62" t="n"/>
      <c r="C579" s="62" t="n"/>
      <c r="D579" s="59" t="n"/>
      <c r="E579" s="59" t="n"/>
      <c r="F579" s="59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1" t="n"/>
      <c r="X579" s="61" t="n"/>
      <c r="Y579" s="61" t="n"/>
      <c r="Z579" s="61" t="n"/>
    </row>
    <row r="580" ht="12.75" customHeight="1" s="150">
      <c r="A580" s="62" t="n"/>
      <c r="B580" s="62" t="n"/>
      <c r="C580" s="62" t="n"/>
      <c r="D580" s="59" t="n"/>
      <c r="E580" s="59" t="n"/>
      <c r="F580" s="59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1" t="n"/>
      <c r="X580" s="61" t="n"/>
      <c r="Y580" s="61" t="n"/>
      <c r="Z580" s="61" t="n"/>
    </row>
    <row r="581" ht="12.75" customHeight="1" s="150">
      <c r="A581" s="62" t="n"/>
      <c r="B581" s="62" t="n"/>
      <c r="C581" s="62" t="n"/>
      <c r="D581" s="59" t="n"/>
      <c r="E581" s="59" t="n"/>
      <c r="F581" s="59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1" t="n"/>
      <c r="X581" s="61" t="n"/>
      <c r="Y581" s="61" t="n"/>
      <c r="Z581" s="61" t="n"/>
    </row>
    <row r="582" ht="25.5" customHeight="1" s="150">
      <c r="A582" s="62" t="n"/>
      <c r="B582" s="62" t="n"/>
      <c r="C582" s="62" t="n"/>
      <c r="D582" s="59" t="n"/>
      <c r="E582" s="60" t="n"/>
      <c r="F582" s="59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1" t="n"/>
      <c r="X582" s="61" t="n"/>
      <c r="Y582" s="61" t="n"/>
      <c r="Z582" s="61" t="n"/>
    </row>
    <row r="583" ht="12.75" customHeight="1" s="150">
      <c r="A583" s="62" t="n"/>
      <c r="B583" s="62" t="n"/>
      <c r="C583" s="62" t="n"/>
      <c r="D583" s="59" t="n"/>
      <c r="E583" s="60" t="n"/>
      <c r="F583" s="59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1" t="n"/>
      <c r="X583" s="61" t="n"/>
      <c r="Y583" s="61" t="n"/>
      <c r="Z583" s="61" t="n"/>
    </row>
    <row r="584" ht="25.5" customHeight="1" s="150">
      <c r="A584" s="62" t="n"/>
      <c r="B584" s="62" t="n"/>
      <c r="C584" s="62" t="n"/>
      <c r="D584" s="59" t="n"/>
      <c r="E584" s="60" t="n"/>
      <c r="F584" s="59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1" t="n"/>
      <c r="X584" s="61" t="n"/>
      <c r="Y584" s="61" t="n"/>
      <c r="Z584" s="61" t="n"/>
    </row>
    <row r="585" ht="25.5" customHeight="1" s="150">
      <c r="A585" s="62" t="n"/>
      <c r="B585" s="62" t="n"/>
      <c r="C585" s="62" t="n"/>
      <c r="D585" s="59" t="n"/>
      <c r="E585" s="60" t="n"/>
      <c r="F585" s="59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1" t="n"/>
      <c r="X585" s="61" t="n"/>
      <c r="Y585" s="61" t="n"/>
      <c r="Z585" s="61" t="n"/>
    </row>
    <row r="586" ht="25.5" customHeight="1" s="150">
      <c r="A586" s="62" t="n"/>
      <c r="B586" s="62" t="n"/>
      <c r="C586" s="62" t="n"/>
      <c r="D586" s="59" t="n"/>
      <c r="E586" s="60" t="n"/>
      <c r="F586" s="59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1" t="n"/>
      <c r="X586" s="61" t="n"/>
      <c r="Y586" s="61" t="n"/>
      <c r="Z586" s="61" t="n"/>
    </row>
    <row r="587" ht="12.75" customHeight="1" s="150">
      <c r="A587" s="62" t="n"/>
      <c r="B587" s="62" t="n"/>
      <c r="C587" s="62" t="n"/>
      <c r="D587" s="59" t="n"/>
      <c r="E587" s="60" t="n"/>
      <c r="F587" s="59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1" t="n"/>
      <c r="X587" s="61" t="n"/>
      <c r="Y587" s="61" t="n"/>
      <c r="Z587" s="61" t="n"/>
    </row>
    <row r="588" ht="12.75" customHeight="1" s="150">
      <c r="A588" s="62" t="n"/>
      <c r="B588" s="62" t="n"/>
      <c r="C588" s="62" t="n"/>
      <c r="D588" s="59" t="n"/>
      <c r="E588" s="60" t="n"/>
      <c r="F588" s="59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1" t="n"/>
      <c r="X588" s="61" t="n"/>
      <c r="Y588" s="61" t="n"/>
      <c r="Z588" s="61" t="n"/>
    </row>
    <row r="589" ht="12.75" customHeight="1" s="150">
      <c r="A589" s="62" t="n"/>
      <c r="B589" s="62" t="n"/>
      <c r="C589" s="62" t="n"/>
      <c r="D589" s="59" t="n"/>
      <c r="E589" s="60" t="n"/>
      <c r="F589" s="59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1" t="n"/>
      <c r="X589" s="61" t="n"/>
      <c r="Y589" s="61" t="n"/>
      <c r="Z589" s="61" t="n"/>
    </row>
    <row r="590" ht="15" customHeight="1" s="150">
      <c r="A590" s="62" t="n"/>
      <c r="B590" s="62" t="n"/>
      <c r="C590" s="62" t="n"/>
      <c r="D590" s="59" t="n"/>
      <c r="E590" s="60" t="n"/>
      <c r="F590" s="59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1" t="n"/>
      <c r="X590" s="61" t="n"/>
      <c r="Y590" s="61" t="n"/>
      <c r="Z590" s="61" t="n"/>
    </row>
    <row r="591" ht="25.5" customHeight="1" s="150">
      <c r="A591" s="62" t="n"/>
      <c r="B591" s="62" t="n"/>
      <c r="C591" s="62" t="n"/>
      <c r="D591" s="59" t="n"/>
      <c r="E591" s="60" t="n"/>
      <c r="F591" s="59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1" t="n"/>
      <c r="X591" s="61" t="n"/>
      <c r="Y591" s="61" t="n"/>
      <c r="Z591" s="61" t="n"/>
    </row>
    <row r="592" ht="12.75" customHeight="1" s="150">
      <c r="A592" s="62" t="n"/>
      <c r="B592" s="62" t="n"/>
      <c r="C592" s="62" t="n"/>
      <c r="D592" s="59" t="n"/>
      <c r="E592" s="60" t="n"/>
      <c r="F592" s="59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1" t="n"/>
      <c r="X592" s="61" t="n"/>
      <c r="Y592" s="61" t="n"/>
      <c r="Z592" s="61" t="n"/>
    </row>
    <row r="593" ht="25.5" customHeight="1" s="150">
      <c r="A593" s="62" t="n"/>
      <c r="B593" s="62" t="n"/>
      <c r="C593" s="62" t="n"/>
      <c r="D593" s="59" t="n"/>
      <c r="E593" s="60" t="n"/>
      <c r="F593" s="59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1" t="n"/>
      <c r="X593" s="61" t="n"/>
      <c r="Y593" s="61" t="n"/>
      <c r="Z593" s="61" t="n"/>
    </row>
    <row r="594" ht="25.5" customHeight="1" s="150">
      <c r="A594" s="62" t="n"/>
      <c r="B594" s="62" t="n"/>
      <c r="C594" s="62" t="n"/>
      <c r="D594" s="59" t="n"/>
      <c r="E594" s="60" t="n"/>
      <c r="F594" s="59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1" t="n"/>
      <c r="X594" s="61" t="n"/>
      <c r="Y594" s="61" t="n"/>
      <c r="Z594" s="61" t="n"/>
    </row>
    <row r="595" ht="25.5" customHeight="1" s="150">
      <c r="A595" s="62" t="n"/>
      <c r="B595" s="62" t="n"/>
      <c r="C595" s="62" t="n"/>
      <c r="D595" s="59" t="n"/>
      <c r="E595" s="60" t="n"/>
      <c r="F595" s="59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1" t="n"/>
      <c r="X595" s="61" t="n"/>
      <c r="Y595" s="61" t="n"/>
      <c r="Z595" s="61" t="n"/>
    </row>
    <row r="596" ht="12.75" customHeight="1" s="150">
      <c r="A596" s="62" t="n"/>
      <c r="B596" s="62" t="n"/>
      <c r="C596" s="62" t="n"/>
      <c r="D596" s="59" t="n"/>
      <c r="E596" s="60" t="n"/>
      <c r="F596" s="59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1" t="n"/>
      <c r="X596" s="61" t="n"/>
      <c r="Y596" s="61" t="n"/>
      <c r="Z596" s="61" t="n"/>
    </row>
    <row r="597" ht="12.75" customHeight="1" s="150">
      <c r="A597" s="62" t="n"/>
      <c r="B597" s="62" t="n"/>
      <c r="C597" s="62" t="n"/>
      <c r="D597" s="59" t="n"/>
      <c r="E597" s="60" t="n"/>
      <c r="F597" s="59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1" t="n"/>
      <c r="X597" s="61" t="n"/>
      <c r="Y597" s="61" t="n"/>
      <c r="Z597" s="61" t="n"/>
    </row>
    <row r="598" ht="15" customHeight="1" s="150">
      <c r="A598" s="62" t="n"/>
      <c r="B598" s="62" t="n"/>
      <c r="C598" s="62" t="n"/>
      <c r="D598" s="59" t="n"/>
      <c r="E598" s="60" t="n"/>
      <c r="F598" s="59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1" t="n"/>
      <c r="X598" s="61" t="n"/>
      <c r="Y598" s="61" t="n"/>
      <c r="Z598" s="61" t="n"/>
    </row>
    <row r="599" ht="12.75" customHeight="1" s="150">
      <c r="A599" s="62" t="n"/>
      <c r="B599" s="62" t="n"/>
      <c r="C599" s="62" t="n"/>
      <c r="D599" s="59" t="n"/>
      <c r="E599" s="60" t="n"/>
      <c r="F599" s="59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1" t="n"/>
      <c r="X599" s="61" t="n"/>
      <c r="Y599" s="61" t="n"/>
      <c r="Z599" s="61" t="n"/>
    </row>
    <row r="600" ht="12.75" customHeight="1" s="150">
      <c r="A600" s="62" t="n"/>
      <c r="B600" s="62" t="n"/>
      <c r="C600" s="62" t="n"/>
      <c r="D600" s="59" t="n"/>
      <c r="E600" s="60" t="n"/>
      <c r="F600" s="59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1" t="n"/>
      <c r="X600" s="61" t="n"/>
      <c r="Y600" s="61" t="n"/>
      <c r="Z600" s="61" t="n"/>
    </row>
    <row r="601" ht="15" customHeight="1" s="150">
      <c r="A601" s="62" t="n"/>
      <c r="B601" s="62" t="n"/>
      <c r="C601" s="62" t="n"/>
      <c r="D601" s="59" t="n"/>
      <c r="E601" s="60" t="n"/>
      <c r="F601" s="59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1" t="n"/>
      <c r="X601" s="61" t="n"/>
      <c r="Y601" s="61" t="n"/>
      <c r="Z601" s="61" t="n"/>
    </row>
    <row r="602" ht="25.5" customHeight="1" s="150">
      <c r="A602" s="62" t="n"/>
      <c r="B602" s="62" t="n"/>
      <c r="C602" s="62" t="n"/>
      <c r="D602" s="59" t="n"/>
      <c r="E602" s="60" t="n"/>
      <c r="F602" s="59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1" t="n"/>
      <c r="X602" s="61" t="n"/>
      <c r="Y602" s="61" t="n"/>
      <c r="Z602" s="61" t="n"/>
    </row>
    <row r="603" ht="15" customHeight="1" s="150">
      <c r="A603" s="62" t="n"/>
      <c r="B603" s="62" t="n"/>
      <c r="C603" s="62" t="n"/>
      <c r="D603" s="59" t="n"/>
      <c r="E603" s="60" t="n"/>
      <c r="F603" s="59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1" t="n"/>
      <c r="X603" s="61" t="n"/>
      <c r="Y603" s="61" t="n"/>
      <c r="Z603" s="61" t="n"/>
    </row>
    <row r="604" ht="38.25" customHeight="1" s="150">
      <c r="A604" s="62" t="n"/>
      <c r="B604" s="62" t="n"/>
      <c r="C604" s="62" t="n"/>
      <c r="D604" s="59" t="n"/>
      <c r="E604" s="60" t="n"/>
      <c r="F604" s="59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1" t="n"/>
      <c r="X604" s="61" t="n"/>
      <c r="Y604" s="61" t="n"/>
      <c r="Z604" s="61" t="n"/>
    </row>
    <row r="605" ht="12.75" customHeight="1" s="150">
      <c r="A605" s="62" t="n"/>
      <c r="B605" s="62" t="n"/>
      <c r="C605" s="62" t="n"/>
      <c r="D605" s="59" t="n"/>
      <c r="E605" s="60" t="n"/>
      <c r="F605" s="59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1" t="n"/>
      <c r="X605" s="61" t="n"/>
      <c r="Y605" s="61" t="n"/>
      <c r="Z605" s="61" t="n"/>
    </row>
    <row r="606" ht="12.75" customHeight="1" s="150">
      <c r="A606" s="62" t="n"/>
      <c r="B606" s="62" t="n"/>
      <c r="C606" s="62" t="n"/>
      <c r="D606" s="59" t="n"/>
      <c r="E606" s="60" t="n"/>
      <c r="F606" s="59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1" t="n"/>
      <c r="X606" s="61" t="n"/>
      <c r="Y606" s="61" t="n"/>
      <c r="Z606" s="61" t="n"/>
    </row>
    <row r="607" ht="25.5" customHeight="1" s="150">
      <c r="A607" s="62" t="n"/>
      <c r="B607" s="62" t="n"/>
      <c r="C607" s="62" t="n"/>
      <c r="D607" s="59" t="n"/>
      <c r="E607" s="59" t="n"/>
      <c r="F607" s="59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1" t="n"/>
      <c r="X607" s="61" t="n"/>
      <c r="Y607" s="61" t="n"/>
      <c r="Z607" s="61" t="n"/>
    </row>
    <row r="608" ht="25.5" customHeight="1" s="150">
      <c r="A608" s="62" t="n"/>
      <c r="B608" s="62" t="n"/>
      <c r="C608" s="63" t="n"/>
      <c r="D608" s="59" t="n"/>
      <c r="E608" s="59" t="n"/>
      <c r="F608" s="59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1" t="n"/>
      <c r="X608" s="61" t="n"/>
      <c r="Y608" s="61" t="n"/>
      <c r="Z608" s="61" t="n"/>
    </row>
    <row r="609" ht="25.5" customHeight="1" s="150">
      <c r="A609" s="62" t="n"/>
      <c r="B609" s="62" t="n"/>
      <c r="C609" s="58" t="n"/>
      <c r="D609" s="59" t="n"/>
      <c r="E609" s="59" t="n"/>
      <c r="F609" s="59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1" t="n"/>
      <c r="X609" s="61" t="n"/>
      <c r="Y609" s="61" t="n"/>
      <c r="Z609" s="61" t="n"/>
    </row>
    <row r="610" ht="12.75" customHeight="1" s="150">
      <c r="A610" s="62" t="n"/>
      <c r="B610" s="62" t="n"/>
      <c r="C610" s="62" t="n"/>
      <c r="D610" s="59" t="n"/>
      <c r="E610" s="59" t="n"/>
      <c r="F610" s="59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1" t="n"/>
      <c r="X610" s="61" t="n"/>
      <c r="Y610" s="61" t="n"/>
      <c r="Z610" s="61" t="n"/>
    </row>
    <row r="611" ht="12.75" customHeight="1" s="150">
      <c r="A611" s="62" t="n"/>
      <c r="B611" s="62" t="n"/>
      <c r="C611" s="62" t="n"/>
      <c r="D611" s="59" t="n"/>
      <c r="E611" s="59" t="n"/>
      <c r="F611" s="59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1" t="n"/>
      <c r="X611" s="61" t="n"/>
      <c r="Y611" s="61" t="n"/>
      <c r="Z611" s="61" t="n"/>
    </row>
    <row r="612" ht="12.75" customHeight="1" s="150">
      <c r="A612" s="62" t="n"/>
      <c r="B612" s="62" t="n"/>
      <c r="C612" s="62" t="n"/>
      <c r="D612" s="59" t="n"/>
      <c r="E612" s="59" t="n"/>
      <c r="F612" s="59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1" t="n"/>
      <c r="X612" s="61" t="n"/>
      <c r="Y612" s="61" t="n"/>
      <c r="Z612" s="61" t="n"/>
    </row>
    <row r="613" ht="12.75" customHeight="1" s="150">
      <c r="A613" s="62" t="n"/>
      <c r="B613" s="62" t="n"/>
      <c r="C613" s="62" t="n"/>
      <c r="D613" s="59" t="n"/>
      <c r="E613" s="59" t="n"/>
      <c r="F613" s="59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1" t="n"/>
      <c r="X613" s="61" t="n"/>
      <c r="Y613" s="61" t="n"/>
      <c r="Z613" s="61" t="n"/>
    </row>
    <row r="614" ht="12.75" customHeight="1" s="150">
      <c r="A614" s="62" t="n"/>
      <c r="B614" s="62" t="n"/>
      <c r="C614" s="62" t="n"/>
      <c r="D614" s="59" t="n"/>
      <c r="E614" s="59" t="n"/>
      <c r="F614" s="59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1" t="n"/>
      <c r="X614" s="61" t="n"/>
      <c r="Y614" s="61" t="n"/>
      <c r="Z614" s="61" t="n"/>
    </row>
    <row r="615" ht="12.75" customHeight="1" s="150">
      <c r="A615" s="62" t="n"/>
      <c r="B615" s="62" t="n"/>
      <c r="C615" s="62" t="n"/>
      <c r="D615" s="59" t="n"/>
      <c r="E615" s="59" t="n"/>
      <c r="F615" s="59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1" t="n"/>
      <c r="X615" s="61" t="n"/>
      <c r="Y615" s="61" t="n"/>
      <c r="Z615" s="61" t="n"/>
    </row>
    <row r="616" ht="12.75" customHeight="1" s="150">
      <c r="A616" s="62" t="n"/>
      <c r="B616" s="62" t="n"/>
      <c r="C616" s="62" t="n"/>
      <c r="D616" s="59" t="n"/>
      <c r="E616" s="59" t="n"/>
      <c r="F616" s="59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1" t="n"/>
      <c r="X616" s="61" t="n"/>
      <c r="Y616" s="61" t="n"/>
      <c r="Z616" s="61" t="n"/>
    </row>
    <row r="617" ht="12.75" customHeight="1" s="150">
      <c r="A617" s="62" t="n"/>
      <c r="B617" s="62" t="n"/>
      <c r="C617" s="62" t="n"/>
      <c r="D617" s="59" t="n"/>
      <c r="E617" s="59" t="n"/>
      <c r="F617" s="59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1" t="n"/>
      <c r="X617" s="61" t="n"/>
      <c r="Y617" s="61" t="n"/>
      <c r="Z617" s="61" t="n"/>
    </row>
    <row r="618" ht="12.75" customHeight="1" s="150">
      <c r="A618" s="62" t="n"/>
      <c r="B618" s="62" t="n"/>
      <c r="C618" s="62" t="n"/>
      <c r="D618" s="59" t="n"/>
      <c r="E618" s="59" t="n"/>
      <c r="F618" s="59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1" t="n"/>
      <c r="X618" s="61" t="n"/>
      <c r="Y618" s="61" t="n"/>
      <c r="Z618" s="61" t="n"/>
    </row>
    <row r="619" ht="15" customHeight="1" s="150">
      <c r="A619" s="62" t="n"/>
      <c r="B619" s="62" t="n"/>
      <c r="C619" s="62" t="n"/>
      <c r="D619" s="59" t="n"/>
      <c r="E619" s="59" t="n"/>
      <c r="F619" s="59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1" t="n"/>
      <c r="X619" s="61" t="n"/>
      <c r="Y619" s="61" t="n"/>
      <c r="Z619" s="61" t="n"/>
    </row>
    <row r="620" ht="15" customHeight="1" s="150">
      <c r="A620" s="62" t="n"/>
      <c r="B620" s="62" t="n"/>
      <c r="C620" s="62" t="n"/>
      <c r="D620" s="59" t="n"/>
      <c r="E620" s="59" t="n"/>
      <c r="F620" s="59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1" t="n"/>
      <c r="X620" s="61" t="n"/>
      <c r="Y620" s="61" t="n"/>
      <c r="Z620" s="61" t="n"/>
    </row>
    <row r="621" ht="12.75" customHeight="1" s="150">
      <c r="A621" s="62" t="n"/>
      <c r="B621" s="62" t="n"/>
      <c r="C621" s="62" t="n"/>
      <c r="D621" s="59" t="n"/>
      <c r="E621" s="59" t="n"/>
      <c r="F621" s="59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1" t="n"/>
      <c r="X621" s="61" t="n"/>
      <c r="Y621" s="61" t="n"/>
      <c r="Z621" s="61" t="n"/>
    </row>
    <row r="622" ht="12.75" customHeight="1" s="150">
      <c r="A622" s="62" t="n"/>
      <c r="B622" s="62" t="n"/>
      <c r="C622" s="63" t="n"/>
      <c r="D622" s="59" t="n"/>
      <c r="E622" s="59" t="n"/>
      <c r="F622" s="59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1" t="n"/>
      <c r="X622" s="61" t="n"/>
      <c r="Y622" s="61" t="n"/>
      <c r="Z622" s="61" t="n"/>
    </row>
    <row r="623" ht="12.75" customHeight="1" s="150">
      <c r="A623" s="62" t="n"/>
      <c r="B623" s="62" t="n"/>
      <c r="C623" s="58" t="n"/>
      <c r="D623" s="59" t="n"/>
      <c r="E623" s="59" t="n"/>
      <c r="F623" s="59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1" t="n"/>
      <c r="X623" s="61" t="n"/>
      <c r="Y623" s="61" t="n"/>
      <c r="Z623" s="61" t="n"/>
    </row>
    <row r="624" ht="12.75" customHeight="1" s="150">
      <c r="A624" s="62" t="n"/>
      <c r="B624" s="62" t="n"/>
      <c r="C624" s="62" t="n"/>
      <c r="D624" s="59" t="n"/>
      <c r="E624" s="59" t="n"/>
      <c r="F624" s="59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1" t="n"/>
      <c r="X624" s="61" t="n"/>
      <c r="Y624" s="61" t="n"/>
      <c r="Z624" s="61" t="n"/>
    </row>
    <row r="625" ht="12.75" customHeight="1" s="150">
      <c r="A625" s="62" t="n"/>
      <c r="B625" s="62" t="n"/>
      <c r="C625" s="62" t="n"/>
      <c r="D625" s="59" t="n"/>
      <c r="E625" s="59" t="n"/>
      <c r="F625" s="59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1" t="n"/>
      <c r="X625" s="61" t="n"/>
      <c r="Y625" s="61" t="n"/>
      <c r="Z625" s="61" t="n"/>
    </row>
    <row r="626" ht="15" customHeight="1" s="150">
      <c r="A626" s="62" t="n"/>
      <c r="B626" s="62" t="n"/>
      <c r="C626" s="62" t="n"/>
      <c r="D626" s="59" t="n"/>
      <c r="E626" s="59" t="n"/>
      <c r="F626" s="59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1" t="n"/>
      <c r="X626" s="61" t="n"/>
      <c r="Y626" s="61" t="n"/>
      <c r="Z626" s="61" t="n"/>
    </row>
    <row r="627" ht="15" customHeight="1" s="150">
      <c r="A627" s="62" t="n"/>
      <c r="B627" s="62" t="n"/>
      <c r="C627" s="62" t="n"/>
      <c r="D627" s="59" t="n"/>
      <c r="E627" s="59" t="n"/>
      <c r="F627" s="59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1" t="n"/>
      <c r="X627" s="61" t="n"/>
      <c r="Y627" s="61" t="n"/>
      <c r="Z627" s="61" t="n"/>
    </row>
    <row r="628" ht="15" customHeight="1" s="150">
      <c r="A628" s="62" t="n"/>
      <c r="B628" s="62" t="n"/>
      <c r="C628" s="62" t="n"/>
      <c r="D628" s="59" t="n"/>
      <c r="E628" s="59" t="n"/>
      <c r="F628" s="59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1" t="n"/>
      <c r="X628" s="61" t="n"/>
      <c r="Y628" s="61" t="n"/>
      <c r="Z628" s="61" t="n"/>
    </row>
    <row r="629" ht="15" customHeight="1" s="150">
      <c r="A629" s="62" t="n"/>
      <c r="B629" s="62" t="n"/>
      <c r="C629" s="63" t="n"/>
      <c r="D629" s="59" t="n"/>
      <c r="E629" s="59" t="n"/>
      <c r="F629" s="59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1" t="n"/>
      <c r="X629" s="61" t="n"/>
      <c r="Y629" s="61" t="n"/>
      <c r="Z629" s="61" t="n"/>
    </row>
    <row r="630" ht="15" customHeight="1" s="150">
      <c r="A630" s="62" t="n"/>
      <c r="B630" s="62" t="n"/>
      <c r="C630" s="58" t="n"/>
      <c r="D630" s="59" t="n"/>
      <c r="E630" s="59" t="n"/>
      <c r="F630" s="59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1" t="n"/>
      <c r="X630" s="61" t="n"/>
      <c r="Y630" s="61" t="n"/>
      <c r="Z630" s="61" t="n"/>
    </row>
    <row r="631" ht="15" customHeight="1" s="150">
      <c r="A631" s="62" t="n"/>
      <c r="B631" s="63" t="n"/>
      <c r="C631" s="62" t="n"/>
      <c r="D631" s="59" t="n"/>
      <c r="E631" s="59" t="n"/>
      <c r="F631" s="59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1" t="n"/>
      <c r="X631" s="61" t="n"/>
      <c r="Y631" s="61" t="n"/>
      <c r="Z631" s="61" t="n"/>
    </row>
    <row r="632" ht="15" customHeight="1" s="150">
      <c r="A632" s="62" t="n"/>
      <c r="B632" s="58" t="n"/>
      <c r="C632" s="58" t="n"/>
      <c r="D632" s="59" t="n"/>
      <c r="E632" s="59" t="n"/>
      <c r="F632" s="59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1" t="n"/>
      <c r="X632" s="61" t="n"/>
      <c r="Y632" s="61" t="n"/>
      <c r="Z632" s="61" t="n"/>
    </row>
    <row r="633" ht="15" customHeight="1" s="150">
      <c r="A633" s="62" t="n"/>
      <c r="B633" s="62" t="n"/>
      <c r="C633" s="62" t="n"/>
      <c r="D633" s="59" t="n"/>
      <c r="E633" s="59" t="n"/>
      <c r="F633" s="59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1" t="n"/>
      <c r="X633" s="61" t="n"/>
      <c r="Y633" s="61" t="n"/>
      <c r="Z633" s="61" t="n"/>
    </row>
    <row r="634" ht="15" customHeight="1" s="150">
      <c r="A634" s="62" t="n"/>
      <c r="B634" s="62" t="n"/>
      <c r="C634" s="62" t="n"/>
      <c r="D634" s="59" t="n"/>
      <c r="E634" s="59" t="n"/>
      <c r="F634" s="59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1" t="n"/>
      <c r="X634" s="61" t="n"/>
      <c r="Y634" s="61" t="n"/>
      <c r="Z634" s="61" t="n"/>
    </row>
    <row r="635" ht="15" customHeight="1" s="150">
      <c r="A635" s="62" t="n"/>
      <c r="B635" s="62" t="n"/>
      <c r="C635" s="62" t="n"/>
      <c r="D635" s="59" t="n"/>
      <c r="E635" s="59" t="n"/>
      <c r="F635" s="59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1" t="n"/>
      <c r="X635" s="61" t="n"/>
      <c r="Y635" s="61" t="n"/>
      <c r="Z635" s="61" t="n"/>
    </row>
    <row r="636" ht="15" customHeight="1" s="150">
      <c r="A636" s="62" t="n"/>
      <c r="B636" s="62" t="n"/>
      <c r="C636" s="62" t="n"/>
      <c r="D636" s="59" t="n"/>
      <c r="E636" s="60" t="n"/>
      <c r="F636" s="59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1" t="n"/>
      <c r="X636" s="61" t="n"/>
      <c r="Y636" s="61" t="n"/>
      <c r="Z636" s="61" t="n"/>
    </row>
    <row r="637" ht="15" customHeight="1" s="150">
      <c r="A637" s="62" t="n"/>
      <c r="B637" s="62" t="n"/>
      <c r="C637" s="62" t="n"/>
      <c r="D637" s="59" t="n"/>
      <c r="E637" s="60" t="n"/>
      <c r="F637" s="59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1" t="n"/>
      <c r="X637" s="61" t="n"/>
      <c r="Y637" s="61" t="n"/>
      <c r="Z637" s="61" t="n"/>
    </row>
    <row r="638" ht="15" customHeight="1" s="150">
      <c r="A638" s="62" t="n"/>
      <c r="B638" s="62" t="n"/>
      <c r="C638" s="62" t="n"/>
      <c r="D638" s="59" t="n"/>
      <c r="E638" s="60" t="n"/>
      <c r="F638" s="59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1" t="n"/>
      <c r="X638" s="61" t="n"/>
      <c r="Y638" s="61" t="n"/>
      <c r="Z638" s="61" t="n"/>
    </row>
    <row r="639" ht="15" customHeight="1" s="150">
      <c r="A639" s="62" t="n"/>
      <c r="B639" s="62" t="n"/>
      <c r="C639" s="62" t="n"/>
      <c r="D639" s="59" t="n"/>
      <c r="E639" s="60" t="n"/>
      <c r="F639" s="59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1" t="n"/>
      <c r="X639" s="61" t="n"/>
      <c r="Y639" s="61" t="n"/>
      <c r="Z639" s="61" t="n"/>
    </row>
    <row r="640" ht="15" customHeight="1" s="150">
      <c r="A640" s="62" t="n"/>
      <c r="B640" s="62" t="n"/>
      <c r="C640" s="62" t="n"/>
      <c r="D640" s="59" t="n"/>
      <c r="E640" s="60" t="n"/>
      <c r="F640" s="59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1" t="n"/>
      <c r="X640" s="61" t="n"/>
      <c r="Y640" s="61" t="n"/>
      <c r="Z640" s="61" t="n"/>
    </row>
    <row r="641" ht="15" customHeight="1" s="150">
      <c r="A641" s="62" t="n"/>
      <c r="B641" s="62" t="n"/>
      <c r="C641" s="62" t="n"/>
      <c r="D641" s="59" t="n"/>
      <c r="E641" s="60" t="n"/>
      <c r="F641" s="59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1" t="n"/>
      <c r="X641" s="61" t="n"/>
      <c r="Y641" s="61" t="n"/>
      <c r="Z641" s="61" t="n"/>
    </row>
    <row r="642" ht="15" customHeight="1" s="150">
      <c r="A642" s="62" t="n"/>
      <c r="B642" s="62" t="n"/>
      <c r="C642" s="62" t="n"/>
      <c r="D642" s="59" t="n"/>
      <c r="E642" s="60" t="n"/>
      <c r="F642" s="59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1" t="n"/>
      <c r="X642" s="61" t="n"/>
      <c r="Y642" s="61" t="n"/>
      <c r="Z642" s="61" t="n"/>
    </row>
    <row r="643" ht="15" customHeight="1" s="150">
      <c r="A643" s="62" t="n"/>
      <c r="B643" s="62" t="n"/>
      <c r="C643" s="62" t="n"/>
      <c r="D643" s="59" t="n"/>
      <c r="E643" s="60" t="n"/>
      <c r="F643" s="59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1" t="n"/>
      <c r="X643" s="61" t="n"/>
      <c r="Y643" s="61" t="n"/>
      <c r="Z643" s="61" t="n"/>
    </row>
    <row r="644" ht="15" customHeight="1" s="150">
      <c r="A644" s="62" t="n"/>
      <c r="B644" s="62" t="n"/>
      <c r="C644" s="62" t="n"/>
      <c r="D644" s="59" t="n"/>
      <c r="E644" s="60" t="n"/>
      <c r="F644" s="59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1" t="n"/>
      <c r="X644" s="61" t="n"/>
      <c r="Y644" s="61" t="n"/>
      <c r="Z644" s="61" t="n"/>
    </row>
    <row r="645" ht="15" customHeight="1" s="150">
      <c r="A645" s="62" t="n"/>
      <c r="B645" s="62" t="n"/>
      <c r="C645" s="62" t="n"/>
      <c r="D645" s="59" t="n"/>
      <c r="E645" s="60" t="n"/>
      <c r="F645" s="59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1" t="n"/>
      <c r="X645" s="61" t="n"/>
      <c r="Y645" s="61" t="n"/>
      <c r="Z645" s="61" t="n"/>
    </row>
    <row r="646" ht="15" customHeight="1" s="150">
      <c r="A646" s="62" t="n"/>
      <c r="B646" s="62" t="n"/>
      <c r="C646" s="62" t="n"/>
      <c r="D646" s="59" t="n"/>
      <c r="E646" s="60" t="n"/>
      <c r="F646" s="59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1" t="n"/>
      <c r="X646" s="61" t="n"/>
      <c r="Y646" s="61" t="n"/>
      <c r="Z646" s="61" t="n"/>
    </row>
    <row r="647" ht="15" customHeight="1" s="150">
      <c r="A647" s="62" t="n"/>
      <c r="B647" s="62" t="n"/>
      <c r="C647" s="62" t="n"/>
      <c r="D647" s="59" t="n"/>
      <c r="E647" s="60" t="n"/>
      <c r="F647" s="59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1" t="n"/>
      <c r="X647" s="61" t="n"/>
      <c r="Y647" s="61" t="n"/>
      <c r="Z647" s="61" t="n"/>
    </row>
    <row r="648" ht="15" customHeight="1" s="150">
      <c r="A648" s="62" t="n"/>
      <c r="B648" s="62" t="n"/>
      <c r="C648" s="62" t="n"/>
      <c r="D648" s="59" t="n"/>
      <c r="E648" s="60" t="n"/>
      <c r="F648" s="59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1" t="n"/>
      <c r="X648" s="61" t="n"/>
      <c r="Y648" s="61" t="n"/>
      <c r="Z648" s="61" t="n"/>
    </row>
    <row r="649" ht="15" customHeight="1" s="150">
      <c r="A649" s="62" t="n"/>
      <c r="B649" s="62" t="n"/>
      <c r="C649" s="62" t="n"/>
      <c r="D649" s="59" t="n"/>
      <c r="E649" s="60" t="n"/>
      <c r="F649" s="59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1" t="n"/>
      <c r="X649" s="61" t="n"/>
      <c r="Y649" s="61" t="n"/>
      <c r="Z649" s="61" t="n"/>
    </row>
    <row r="650" ht="15" customHeight="1" s="150">
      <c r="A650" s="62" t="n"/>
      <c r="B650" s="62" t="n"/>
      <c r="C650" s="62" t="n"/>
      <c r="D650" s="59" t="n"/>
      <c r="E650" s="60" t="n"/>
      <c r="F650" s="59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1" t="n"/>
      <c r="X650" s="61" t="n"/>
      <c r="Y650" s="61" t="n"/>
      <c r="Z650" s="61" t="n"/>
    </row>
    <row r="651" ht="15" customHeight="1" s="150">
      <c r="A651" s="62" t="n"/>
      <c r="B651" s="62" t="n"/>
      <c r="C651" s="62" t="n"/>
      <c r="D651" s="59" t="n"/>
      <c r="E651" s="60" t="n"/>
      <c r="F651" s="59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1" t="n"/>
      <c r="X651" s="61" t="n"/>
      <c r="Y651" s="61" t="n"/>
      <c r="Z651" s="61" t="n"/>
    </row>
    <row r="652" ht="15" customHeight="1" s="150">
      <c r="A652" s="62" t="n"/>
      <c r="B652" s="62" t="n"/>
      <c r="C652" s="62" t="n"/>
      <c r="D652" s="59" t="n"/>
      <c r="E652" s="60" t="n"/>
      <c r="F652" s="59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1" t="n"/>
      <c r="X652" s="61" t="n"/>
      <c r="Y652" s="61" t="n"/>
      <c r="Z652" s="61" t="n"/>
    </row>
    <row r="653" ht="15" customHeight="1" s="150">
      <c r="A653" s="62" t="n"/>
      <c r="B653" s="62" t="n"/>
      <c r="C653" s="62" t="n"/>
      <c r="D653" s="59" t="n"/>
      <c r="E653" s="60" t="n"/>
      <c r="F653" s="59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1" t="n"/>
      <c r="X653" s="61" t="n"/>
      <c r="Y653" s="61" t="n"/>
      <c r="Z653" s="61" t="n"/>
    </row>
    <row r="654" ht="15" customHeight="1" s="150">
      <c r="A654" s="62" t="n"/>
      <c r="B654" s="62" t="n"/>
      <c r="C654" s="62" t="n"/>
      <c r="D654" s="59" t="n"/>
      <c r="E654" s="60" t="n"/>
      <c r="F654" s="59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1" t="n"/>
      <c r="X654" s="61" t="n"/>
      <c r="Y654" s="61" t="n"/>
      <c r="Z654" s="61" t="n"/>
    </row>
    <row r="655" ht="25.5" customHeight="1" s="150">
      <c r="A655" s="62" t="n"/>
      <c r="B655" s="62" t="n"/>
      <c r="C655" s="62" t="n"/>
      <c r="D655" s="59" t="n"/>
      <c r="E655" s="60" t="n"/>
      <c r="F655" s="59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1" t="n"/>
      <c r="X655" s="61" t="n"/>
      <c r="Y655" s="61" t="n"/>
      <c r="Z655" s="61" t="n"/>
    </row>
    <row r="656" ht="15" customHeight="1" s="150">
      <c r="A656" s="62" t="n"/>
      <c r="B656" s="62" t="n"/>
      <c r="C656" s="62" t="n"/>
      <c r="D656" s="59" t="n"/>
      <c r="E656" s="60" t="n"/>
      <c r="F656" s="59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1" t="n"/>
      <c r="X656" s="61" t="n"/>
      <c r="Y656" s="61" t="n"/>
      <c r="Z656" s="61" t="n"/>
    </row>
    <row r="657" ht="15" customHeight="1" s="150">
      <c r="A657" s="62" t="n"/>
      <c r="B657" s="62" t="n"/>
      <c r="C657" s="62" t="n"/>
      <c r="D657" s="59" t="n"/>
      <c r="E657" s="60" t="n"/>
      <c r="F657" s="59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1" t="n"/>
      <c r="X657" s="61" t="n"/>
      <c r="Y657" s="61" t="n"/>
      <c r="Z657" s="61" t="n"/>
    </row>
    <row r="658" ht="15" customHeight="1" s="150">
      <c r="A658" s="62" t="n"/>
      <c r="B658" s="62" t="n"/>
      <c r="C658" s="62" t="n"/>
      <c r="D658" s="59" t="n"/>
      <c r="E658" s="60" t="n"/>
      <c r="F658" s="59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1" t="n"/>
      <c r="X658" s="61" t="n"/>
      <c r="Y658" s="61" t="n"/>
      <c r="Z658" s="61" t="n"/>
    </row>
    <row r="659" ht="15" customHeight="1" s="150">
      <c r="A659" s="62" t="n"/>
      <c r="B659" s="62" t="n"/>
      <c r="C659" s="62" t="n"/>
      <c r="D659" s="59" t="n"/>
      <c r="E659" s="60" t="n"/>
      <c r="F659" s="59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1" t="n"/>
      <c r="X659" s="61" t="n"/>
      <c r="Y659" s="61" t="n"/>
      <c r="Z659" s="61" t="n"/>
    </row>
    <row r="660" ht="15" customHeight="1" s="150">
      <c r="A660" s="62" t="n"/>
      <c r="B660" s="62" t="n"/>
      <c r="C660" s="62" t="n"/>
      <c r="D660" s="59" t="n"/>
      <c r="E660" s="60" t="n"/>
      <c r="F660" s="59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1" t="n"/>
      <c r="X660" s="61" t="n"/>
      <c r="Y660" s="61" t="n"/>
      <c r="Z660" s="61" t="n"/>
    </row>
    <row r="661" ht="38.25" customHeight="1" s="150">
      <c r="A661" s="62" t="n"/>
      <c r="B661" s="62" t="n"/>
      <c r="C661" s="62" t="n"/>
      <c r="D661" s="59" t="n"/>
      <c r="E661" s="60" t="n"/>
      <c r="F661" s="59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1" t="n"/>
      <c r="X661" s="61" t="n"/>
      <c r="Y661" s="61" t="n"/>
      <c r="Z661" s="61" t="n"/>
    </row>
    <row r="662" ht="25.5" customHeight="1" s="150">
      <c r="A662" s="62" t="n"/>
      <c r="B662" s="62" t="n"/>
      <c r="C662" s="62" t="n"/>
      <c r="D662" s="59" t="n"/>
      <c r="E662" s="59" t="n"/>
      <c r="F662" s="59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1" t="n"/>
      <c r="X662" s="61" t="n"/>
      <c r="Y662" s="61" t="n"/>
      <c r="Z662" s="61" t="n"/>
    </row>
    <row r="663" ht="15" customHeight="1" s="150">
      <c r="A663" s="62" t="n"/>
      <c r="B663" s="62" t="n"/>
      <c r="C663" s="63" t="n"/>
      <c r="D663" s="59" t="n"/>
      <c r="E663" s="59" t="n"/>
      <c r="F663" s="59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1" t="n"/>
      <c r="X663" s="61" t="n"/>
      <c r="Y663" s="61" t="n"/>
      <c r="Z663" s="61" t="n"/>
    </row>
    <row r="664" ht="15" customHeight="1" s="150">
      <c r="A664" s="62" t="n"/>
      <c r="B664" s="62" t="n"/>
      <c r="C664" s="58" t="n"/>
      <c r="D664" s="59" t="n"/>
      <c r="E664" s="59" t="n"/>
      <c r="F664" s="59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1" t="n"/>
      <c r="X664" s="61" t="n"/>
      <c r="Y664" s="61" t="n"/>
      <c r="Z664" s="61" t="n"/>
    </row>
    <row r="665" ht="15" customHeight="1" s="150">
      <c r="A665" s="62" t="n"/>
      <c r="B665" s="62" t="n"/>
      <c r="C665" s="62" t="n"/>
      <c r="D665" s="59" t="n"/>
      <c r="E665" s="59" t="n"/>
      <c r="F665" s="59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1" t="n"/>
      <c r="X665" s="61" t="n"/>
      <c r="Y665" s="61" t="n"/>
      <c r="Z665" s="61" t="n"/>
    </row>
    <row r="666" ht="15" customHeight="1" s="150">
      <c r="A666" s="62" t="n"/>
      <c r="B666" s="62" t="n"/>
      <c r="C666" s="62" t="n"/>
      <c r="D666" s="59" t="n"/>
      <c r="E666" s="59" t="n"/>
      <c r="F666" s="59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1" t="n"/>
      <c r="X666" s="61" t="n"/>
      <c r="Y666" s="61" t="n"/>
      <c r="Z666" s="61" t="n"/>
    </row>
    <row r="667" ht="15" customHeight="1" s="150">
      <c r="A667" s="62" t="n"/>
      <c r="B667" s="62" t="n"/>
      <c r="C667" s="62" t="n"/>
      <c r="D667" s="59" t="n"/>
      <c r="E667" s="59" t="n"/>
      <c r="F667" s="59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1" t="n"/>
      <c r="X667" s="61" t="n"/>
      <c r="Y667" s="61" t="n"/>
      <c r="Z667" s="61" t="n"/>
    </row>
    <row r="668" ht="15" customHeight="1" s="150">
      <c r="A668" s="62" t="n"/>
      <c r="B668" s="62" t="n"/>
      <c r="C668" s="62" t="n"/>
      <c r="D668" s="59" t="n"/>
      <c r="E668" s="59" t="n"/>
      <c r="F668" s="59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1" t="n"/>
      <c r="X668" s="61" t="n"/>
      <c r="Y668" s="61" t="n"/>
      <c r="Z668" s="61" t="n"/>
    </row>
    <row r="669" ht="15" customHeight="1" s="150">
      <c r="A669" s="62" t="n"/>
      <c r="B669" s="62" t="n"/>
      <c r="C669" s="62" t="n"/>
      <c r="D669" s="59" t="n"/>
      <c r="E669" s="59" t="n"/>
      <c r="F669" s="59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1" t="n"/>
      <c r="X669" s="61" t="n"/>
      <c r="Y669" s="61" t="n"/>
      <c r="Z669" s="61" t="n"/>
    </row>
    <row r="670" ht="15" customHeight="1" s="150">
      <c r="A670" s="62" t="n"/>
      <c r="B670" s="62" t="n"/>
      <c r="C670" s="62" t="n"/>
      <c r="D670" s="59" t="n"/>
      <c r="E670" s="59" t="n"/>
      <c r="F670" s="59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1" t="n"/>
      <c r="X670" s="61" t="n"/>
      <c r="Y670" s="61" t="n"/>
      <c r="Z670" s="61" t="n"/>
    </row>
    <row r="671" ht="15" customHeight="1" s="150">
      <c r="A671" s="62" t="n"/>
      <c r="B671" s="62" t="n"/>
      <c r="C671" s="62" t="n"/>
      <c r="D671" s="59" t="n"/>
      <c r="E671" s="59" t="n"/>
      <c r="F671" s="59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1" t="n"/>
      <c r="X671" s="61" t="n"/>
      <c r="Y671" s="61" t="n"/>
      <c r="Z671" s="61" t="n"/>
    </row>
    <row r="672" ht="15" customHeight="1" s="150">
      <c r="A672" s="62" t="n"/>
      <c r="B672" s="62" t="n"/>
      <c r="C672" s="62" t="n"/>
      <c r="D672" s="59" t="n"/>
      <c r="E672" s="59" t="n"/>
      <c r="F672" s="59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1" t="n"/>
      <c r="X672" s="61" t="n"/>
      <c r="Y672" s="61" t="n"/>
      <c r="Z672" s="61" t="n"/>
    </row>
    <row r="673" ht="15" customHeight="1" s="150">
      <c r="A673" s="62" t="n"/>
      <c r="B673" s="62" t="n"/>
      <c r="C673" s="62" t="n"/>
      <c r="D673" s="59" t="n"/>
      <c r="E673" s="59" t="n"/>
      <c r="F673" s="59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1" t="n"/>
      <c r="X673" s="61" t="n"/>
      <c r="Y673" s="61" t="n"/>
      <c r="Z673" s="61" t="n"/>
    </row>
    <row r="674" ht="15" customHeight="1" s="150">
      <c r="A674" s="62" t="n"/>
      <c r="B674" s="62" t="n"/>
      <c r="C674" s="63" t="n"/>
      <c r="D674" s="59" t="n"/>
      <c r="E674" s="59" t="n"/>
      <c r="F674" s="59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1" t="n"/>
      <c r="X674" s="61" t="n"/>
      <c r="Y674" s="61" t="n"/>
      <c r="Z674" s="61" t="n"/>
    </row>
    <row r="675" ht="15" customHeight="1" s="150">
      <c r="A675" s="62" t="n"/>
      <c r="B675" s="62" t="n"/>
      <c r="C675" s="58" t="n"/>
      <c r="D675" s="59" t="n"/>
      <c r="E675" s="59" t="n"/>
      <c r="F675" s="59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1" t="n"/>
      <c r="X675" s="61" t="n"/>
      <c r="Y675" s="61" t="n"/>
      <c r="Z675" s="61" t="n"/>
    </row>
    <row r="676" ht="15" customHeight="1" s="150">
      <c r="A676" s="62" t="n"/>
      <c r="B676" s="62" t="n"/>
      <c r="C676" s="62" t="n"/>
      <c r="D676" s="59" t="n"/>
      <c r="E676" s="59" t="n"/>
      <c r="F676" s="59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1" t="n"/>
      <c r="X676" s="61" t="n"/>
      <c r="Y676" s="61" t="n"/>
      <c r="Z676" s="61" t="n"/>
    </row>
    <row r="677" ht="15" customHeight="1" s="150">
      <c r="A677" s="62" t="n"/>
      <c r="B677" s="62" t="n"/>
      <c r="C677" s="62" t="n"/>
      <c r="D677" s="59" t="n"/>
      <c r="E677" s="59" t="n"/>
      <c r="F677" s="59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1" t="n"/>
      <c r="X677" s="61" t="n"/>
      <c r="Y677" s="61" t="n"/>
      <c r="Z677" s="61" t="n"/>
    </row>
    <row r="678" ht="12.75" customHeight="1" s="150">
      <c r="A678" s="62" t="n"/>
      <c r="B678" s="62" t="n"/>
      <c r="C678" s="62" t="n"/>
      <c r="D678" s="59" t="n"/>
      <c r="E678" s="59" t="n"/>
      <c r="F678" s="59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1" t="n"/>
      <c r="X678" s="61" t="n"/>
      <c r="Y678" s="61" t="n"/>
      <c r="Z678" s="61" t="n"/>
    </row>
    <row r="679" ht="12.75" customHeight="1" s="150">
      <c r="A679" s="62" t="n"/>
      <c r="B679" s="62" t="n"/>
      <c r="C679" s="62" t="n"/>
      <c r="D679" s="59" t="n"/>
      <c r="E679" s="59" t="n"/>
      <c r="F679" s="59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1" t="n"/>
      <c r="X679" s="61" t="n"/>
      <c r="Y679" s="61" t="n"/>
      <c r="Z679" s="61" t="n"/>
    </row>
    <row r="680" ht="12.75" customHeight="1" s="150">
      <c r="A680" s="62" t="n"/>
      <c r="B680" s="62" t="n"/>
      <c r="C680" s="62" t="n"/>
      <c r="D680" s="59" t="n"/>
      <c r="E680" s="59" t="n"/>
      <c r="F680" s="59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1" t="n"/>
      <c r="X680" s="61" t="n"/>
      <c r="Y680" s="61" t="n"/>
      <c r="Z680" s="61" t="n"/>
    </row>
    <row r="681" ht="25.5" customHeight="1" s="150">
      <c r="A681" s="62" t="n"/>
      <c r="B681" s="62" t="n"/>
      <c r="C681" s="62" t="n"/>
      <c r="D681" s="59" t="n"/>
      <c r="E681" s="59" t="n"/>
      <c r="F681" s="59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1" t="n"/>
      <c r="X681" s="61" t="n"/>
      <c r="Y681" s="61" t="n"/>
      <c r="Z681" s="61" t="n"/>
    </row>
    <row r="682" ht="12.75" customHeight="1" s="150">
      <c r="A682" s="62" t="n"/>
      <c r="B682" s="62" t="n"/>
      <c r="C682" s="58" t="n"/>
      <c r="D682" s="59" t="n"/>
      <c r="E682" s="59" t="n"/>
      <c r="F682" s="59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1" t="n"/>
      <c r="X682" s="61" t="n"/>
      <c r="Y682" s="61" t="n"/>
      <c r="Z682" s="61" t="n"/>
    </row>
    <row r="683" ht="12.75" customHeight="1" s="150">
      <c r="A683" s="62" t="n"/>
      <c r="B683" s="63" t="n"/>
      <c r="C683" s="62" t="n"/>
      <c r="D683" s="59" t="n"/>
      <c r="E683" s="59" t="n"/>
      <c r="F683" s="59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1" t="n"/>
      <c r="X683" s="61" t="n"/>
      <c r="Y683" s="61" t="n"/>
      <c r="Z683" s="61" t="n"/>
    </row>
    <row r="684" ht="12.75" customHeight="1" s="150">
      <c r="A684" s="62" t="n"/>
      <c r="B684" s="58" t="n"/>
      <c r="C684" s="58" t="n"/>
      <c r="D684" s="59" t="n"/>
      <c r="E684" s="59" t="n"/>
      <c r="F684" s="59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1" t="n"/>
      <c r="X684" s="61" t="n"/>
      <c r="Y684" s="61" t="n"/>
      <c r="Z684" s="61" t="n"/>
    </row>
    <row r="685" ht="12.75" customHeight="1" s="150">
      <c r="A685" s="62" t="n"/>
      <c r="B685" s="62" t="n"/>
      <c r="C685" s="62" t="n"/>
      <c r="D685" s="59" t="n"/>
      <c r="E685" s="59" t="n"/>
      <c r="F685" s="59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1" t="n"/>
      <c r="X685" s="61" t="n"/>
      <c r="Y685" s="61" t="n"/>
      <c r="Z685" s="61" t="n"/>
    </row>
    <row r="686" ht="12.75" customHeight="1" s="150">
      <c r="A686" s="62" t="n"/>
      <c r="B686" s="62" t="n"/>
      <c r="C686" s="62" t="n"/>
      <c r="D686" s="59" t="n"/>
      <c r="E686" s="59" t="n"/>
      <c r="F686" s="59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1" t="n"/>
      <c r="X686" s="61" t="n"/>
      <c r="Y686" s="61" t="n"/>
      <c r="Z686" s="61" t="n"/>
    </row>
    <row r="687" ht="15" customHeight="1" s="150">
      <c r="A687" s="62" t="n"/>
      <c r="B687" s="62" t="n"/>
      <c r="C687" s="62" t="n"/>
      <c r="D687" s="59" t="n"/>
      <c r="E687" s="59" t="n"/>
      <c r="F687" s="59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1" t="n"/>
      <c r="X687" s="61" t="n"/>
      <c r="Y687" s="61" t="n"/>
      <c r="Z687" s="61" t="n"/>
    </row>
    <row r="688" ht="15" customHeight="1" s="150">
      <c r="A688" s="62" t="n"/>
      <c r="B688" s="62" t="n"/>
      <c r="C688" s="62" t="n"/>
      <c r="D688" s="59" t="n"/>
      <c r="E688" s="60" t="n"/>
      <c r="F688" s="59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1" t="n"/>
      <c r="X688" s="61" t="n"/>
      <c r="Y688" s="61" t="n"/>
      <c r="Z688" s="61" t="n"/>
    </row>
    <row r="689" ht="15" customHeight="1" s="150">
      <c r="A689" s="62" t="n"/>
      <c r="B689" s="62" t="n"/>
      <c r="C689" s="62" t="n"/>
      <c r="D689" s="59" t="n"/>
      <c r="E689" s="60" t="n"/>
      <c r="F689" s="59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1" t="n"/>
      <c r="X689" s="61" t="n"/>
      <c r="Y689" s="61" t="n"/>
      <c r="Z689" s="61" t="n"/>
    </row>
    <row r="690" ht="15" customHeight="1" s="150">
      <c r="A690" s="62" t="n"/>
      <c r="B690" s="62" t="n"/>
      <c r="C690" s="62" t="n"/>
      <c r="D690" s="59" t="n"/>
      <c r="E690" s="60" t="n"/>
      <c r="F690" s="59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1" t="n"/>
      <c r="X690" s="61" t="n"/>
      <c r="Y690" s="61" t="n"/>
      <c r="Z690" s="61" t="n"/>
    </row>
    <row r="691" ht="15" customHeight="1" s="150">
      <c r="A691" s="62" t="n"/>
      <c r="B691" s="62" t="n"/>
      <c r="C691" s="62" t="n"/>
      <c r="D691" s="59" t="n"/>
      <c r="E691" s="60" t="n"/>
      <c r="F691" s="59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1" t="n"/>
      <c r="X691" s="61" t="n"/>
      <c r="Y691" s="61" t="n"/>
      <c r="Z691" s="61" t="n"/>
    </row>
    <row r="692" ht="15" customHeight="1" s="150">
      <c r="A692" s="62" t="n"/>
      <c r="B692" s="62" t="n"/>
      <c r="C692" s="62" t="n"/>
      <c r="D692" s="59" t="n"/>
      <c r="E692" s="60" t="n"/>
      <c r="F692" s="59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1" t="n"/>
      <c r="X692" s="61" t="n"/>
      <c r="Y692" s="61" t="n"/>
      <c r="Z692" s="61" t="n"/>
    </row>
    <row r="693" ht="15" customHeight="1" s="150">
      <c r="A693" s="62" t="n"/>
      <c r="B693" s="62" t="n"/>
      <c r="C693" s="62" t="n"/>
      <c r="D693" s="59" t="n"/>
      <c r="E693" s="60" t="n"/>
      <c r="F693" s="59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1" t="n"/>
      <c r="X693" s="61" t="n"/>
      <c r="Y693" s="61" t="n"/>
      <c r="Z693" s="61" t="n"/>
    </row>
    <row r="694" ht="15" customHeight="1" s="150">
      <c r="A694" s="62" t="n"/>
      <c r="B694" s="62" t="n"/>
      <c r="C694" s="62" t="n"/>
      <c r="D694" s="59" t="n"/>
      <c r="E694" s="60" t="n"/>
      <c r="F694" s="59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1" t="n"/>
      <c r="X694" s="61" t="n"/>
      <c r="Y694" s="61" t="n"/>
      <c r="Z694" s="61" t="n"/>
    </row>
    <row r="695" ht="15" customHeight="1" s="150">
      <c r="A695" s="62" t="n"/>
      <c r="B695" s="62" t="n"/>
      <c r="C695" s="62" t="n"/>
      <c r="D695" s="59" t="n"/>
      <c r="E695" s="60" t="n"/>
      <c r="F695" s="59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1" t="n"/>
      <c r="X695" s="61" t="n"/>
      <c r="Y695" s="61" t="n"/>
      <c r="Z695" s="61" t="n"/>
    </row>
    <row r="696" ht="15" customHeight="1" s="150">
      <c r="A696" s="62" t="n"/>
      <c r="B696" s="62" t="n"/>
      <c r="C696" s="62" t="n"/>
      <c r="D696" s="59" t="n"/>
      <c r="E696" s="60" t="n"/>
      <c r="F696" s="59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1" t="n"/>
      <c r="X696" s="61" t="n"/>
      <c r="Y696" s="61" t="n"/>
      <c r="Z696" s="61" t="n"/>
    </row>
    <row r="697" ht="15" customHeight="1" s="150">
      <c r="A697" s="62" t="n"/>
      <c r="B697" s="62" t="n"/>
      <c r="C697" s="62" t="n"/>
      <c r="D697" s="59" t="n"/>
      <c r="E697" s="60" t="n"/>
      <c r="F697" s="59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1" t="n"/>
      <c r="X697" s="61" t="n"/>
      <c r="Y697" s="61" t="n"/>
      <c r="Z697" s="61" t="n"/>
    </row>
    <row r="698" ht="15" customHeight="1" s="150">
      <c r="A698" s="62" t="n"/>
      <c r="B698" s="62" t="n"/>
      <c r="C698" s="62" t="n"/>
      <c r="D698" s="59" t="n"/>
      <c r="E698" s="60" t="n"/>
      <c r="F698" s="59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1" t="n"/>
      <c r="X698" s="61" t="n"/>
      <c r="Y698" s="61" t="n"/>
      <c r="Z698" s="61" t="n"/>
    </row>
    <row r="699" ht="15" customHeight="1" s="150">
      <c r="A699" s="62" t="n"/>
      <c r="B699" s="62" t="n"/>
      <c r="C699" s="62" t="n"/>
      <c r="D699" s="59" t="n"/>
      <c r="E699" s="60" t="n"/>
      <c r="F699" s="59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1" t="n"/>
      <c r="X699" s="61" t="n"/>
      <c r="Y699" s="61" t="n"/>
      <c r="Z699" s="61" t="n"/>
    </row>
    <row r="700" ht="15" customHeight="1" s="150">
      <c r="A700" s="62" t="n"/>
      <c r="B700" s="62" t="n"/>
      <c r="C700" s="62" t="n"/>
      <c r="D700" s="59" t="n"/>
      <c r="E700" s="60" t="n"/>
      <c r="F700" s="59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1" t="n"/>
      <c r="X700" s="61" t="n"/>
      <c r="Y700" s="61" t="n"/>
      <c r="Z700" s="61" t="n"/>
    </row>
    <row r="701" ht="15" customHeight="1" s="150">
      <c r="A701" s="62" t="n"/>
      <c r="B701" s="62" t="n"/>
      <c r="C701" s="62" t="n"/>
      <c r="D701" s="59" t="n"/>
      <c r="E701" s="60" t="n"/>
      <c r="F701" s="59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1" t="n"/>
      <c r="X701" s="61" t="n"/>
      <c r="Y701" s="61" t="n"/>
      <c r="Z701" s="61" t="n"/>
    </row>
    <row r="702" ht="15" customHeight="1" s="150">
      <c r="A702" s="62" t="n"/>
      <c r="B702" s="62" t="n"/>
      <c r="C702" s="62" t="n"/>
      <c r="D702" s="59" t="n"/>
      <c r="E702" s="60" t="n"/>
      <c r="F702" s="59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1" t="n"/>
      <c r="X702" s="61" t="n"/>
      <c r="Y702" s="61" t="n"/>
      <c r="Z702" s="61" t="n"/>
    </row>
    <row r="703" ht="15" customHeight="1" s="150">
      <c r="A703" s="62" t="n"/>
      <c r="B703" s="62" t="n"/>
      <c r="C703" s="62" t="n"/>
      <c r="D703" s="59" t="n"/>
      <c r="E703" s="60" t="n"/>
      <c r="F703" s="59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1" t="n"/>
      <c r="X703" s="61" t="n"/>
      <c r="Y703" s="61" t="n"/>
      <c r="Z703" s="61" t="n"/>
    </row>
    <row r="704" ht="15" customHeight="1" s="150">
      <c r="A704" s="62" t="n"/>
      <c r="B704" s="62" t="n"/>
      <c r="C704" s="62" t="n"/>
      <c r="D704" s="59" t="n"/>
      <c r="E704" s="60" t="n"/>
      <c r="F704" s="59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1" t="n"/>
      <c r="X704" s="61" t="n"/>
      <c r="Y704" s="61" t="n"/>
      <c r="Z704" s="61" t="n"/>
    </row>
    <row r="705" ht="25.5" customHeight="1" s="150">
      <c r="A705" s="62" t="n"/>
      <c r="B705" s="62" t="n"/>
      <c r="C705" s="62" t="n"/>
      <c r="D705" s="59" t="n"/>
      <c r="E705" s="60" t="n"/>
      <c r="F705" s="59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1" t="n"/>
      <c r="X705" s="61" t="n"/>
      <c r="Y705" s="61" t="n"/>
      <c r="Z705" s="61" t="n"/>
    </row>
    <row r="706" ht="15" customHeight="1" s="150">
      <c r="A706" s="62" t="n"/>
      <c r="B706" s="62" t="n"/>
      <c r="C706" s="62" t="n"/>
      <c r="D706" s="59" t="n"/>
      <c r="E706" s="60" t="n"/>
      <c r="F706" s="59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1" t="n"/>
      <c r="X706" s="61" t="n"/>
      <c r="Y706" s="61" t="n"/>
      <c r="Z706" s="61" t="n"/>
    </row>
    <row r="707" ht="15" customHeight="1" s="150">
      <c r="A707" s="62" t="n"/>
      <c r="B707" s="62" t="n"/>
      <c r="C707" s="62" t="n"/>
      <c r="D707" s="59" t="n"/>
      <c r="E707" s="60" t="n"/>
      <c r="F707" s="59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1" t="n"/>
      <c r="X707" s="61" t="n"/>
      <c r="Y707" s="61" t="n"/>
      <c r="Z707" s="61" t="n"/>
    </row>
    <row r="708" ht="12.75" customHeight="1" s="150">
      <c r="A708" s="62" t="n"/>
      <c r="B708" s="62" t="n"/>
      <c r="C708" s="62" t="n"/>
      <c r="D708" s="59" t="n"/>
      <c r="E708" s="60" t="n"/>
      <c r="F708" s="59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1" t="n"/>
      <c r="X708" s="61" t="n"/>
      <c r="Y708" s="61" t="n"/>
      <c r="Z708" s="61" t="n"/>
    </row>
    <row r="709" ht="12.75" customHeight="1" s="150">
      <c r="A709" s="62" t="n"/>
      <c r="B709" s="62" t="n"/>
      <c r="C709" s="62" t="n"/>
      <c r="D709" s="59" t="n"/>
      <c r="E709" s="60" t="n"/>
      <c r="F709" s="59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1" t="n"/>
      <c r="X709" s="61" t="n"/>
      <c r="Y709" s="61" t="n"/>
      <c r="Z709" s="61" t="n"/>
    </row>
    <row r="710" ht="25.5" customHeight="1" s="150">
      <c r="A710" s="62" t="n"/>
      <c r="B710" s="62" t="n"/>
      <c r="C710" s="62" t="n"/>
      <c r="D710" s="59" t="n"/>
      <c r="E710" s="60" t="n"/>
      <c r="F710" s="59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1" t="n"/>
      <c r="X710" s="61" t="n"/>
      <c r="Y710" s="61" t="n"/>
      <c r="Z710" s="61" t="n"/>
    </row>
    <row r="711" ht="15" customHeight="1" s="150">
      <c r="A711" s="62" t="n"/>
      <c r="B711" s="62" t="n"/>
      <c r="C711" s="62" t="n"/>
      <c r="D711" s="59" t="n"/>
      <c r="E711" s="60" t="n"/>
      <c r="F711" s="59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1" t="n"/>
      <c r="X711" s="61" t="n"/>
      <c r="Y711" s="61" t="n"/>
      <c r="Z711" s="61" t="n"/>
    </row>
    <row r="712" ht="15" customHeight="1" s="150">
      <c r="A712" s="62" t="n"/>
      <c r="B712" s="62" t="n"/>
      <c r="C712" s="62" t="n"/>
      <c r="D712" s="59" t="n"/>
      <c r="E712" s="60" t="n"/>
      <c r="F712" s="59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1" t="n"/>
      <c r="X712" s="61" t="n"/>
      <c r="Y712" s="61" t="n"/>
      <c r="Z712" s="61" t="n"/>
    </row>
    <row r="713" ht="15" customHeight="1" s="150">
      <c r="A713" s="62" t="n"/>
      <c r="B713" s="62" t="n"/>
      <c r="C713" s="62" t="n"/>
      <c r="D713" s="59" t="n"/>
      <c r="E713" s="60" t="n"/>
      <c r="F713" s="59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1" t="n"/>
      <c r="X713" s="61" t="n"/>
      <c r="Y713" s="61" t="n"/>
      <c r="Z713" s="61" t="n"/>
    </row>
    <row r="714" ht="15" customHeight="1" s="150">
      <c r="A714" s="62" t="n"/>
      <c r="B714" s="62" t="n"/>
      <c r="C714" s="62" t="n"/>
      <c r="D714" s="59" t="n"/>
      <c r="E714" s="60" t="n"/>
      <c r="F714" s="59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1" t="n"/>
      <c r="X714" s="61" t="n"/>
      <c r="Y714" s="61" t="n"/>
      <c r="Z714" s="61" t="n"/>
    </row>
    <row r="715" ht="15" customHeight="1" s="150">
      <c r="A715" s="62" t="n"/>
      <c r="B715" s="62" t="n"/>
      <c r="C715" s="62" t="n"/>
      <c r="D715" s="59" t="n"/>
      <c r="E715" s="59" t="n"/>
      <c r="F715" s="59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1" t="n"/>
      <c r="X715" s="61" t="n"/>
      <c r="Y715" s="61" t="n"/>
      <c r="Z715" s="61" t="n"/>
    </row>
    <row r="716" ht="15" customHeight="1" s="150">
      <c r="A716" s="62" t="n"/>
      <c r="B716" s="62" t="n"/>
      <c r="C716" s="63" t="n"/>
      <c r="D716" s="59" t="n"/>
      <c r="E716" s="59" t="n"/>
      <c r="F716" s="59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1" t="n"/>
      <c r="X716" s="61" t="n"/>
      <c r="Y716" s="61" t="n"/>
      <c r="Z716" s="61" t="n"/>
    </row>
    <row r="717" ht="15" customHeight="1" s="150">
      <c r="A717" s="62" t="n"/>
      <c r="B717" s="62" t="n"/>
      <c r="C717" s="58" t="n"/>
      <c r="D717" s="59" t="n"/>
      <c r="E717" s="59" t="n"/>
      <c r="F717" s="59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1" t="n"/>
      <c r="X717" s="61" t="n"/>
      <c r="Y717" s="61" t="n"/>
      <c r="Z717" s="61" t="n"/>
    </row>
    <row r="718" ht="15" customHeight="1" s="150">
      <c r="A718" s="62" t="n"/>
      <c r="B718" s="62" t="n"/>
      <c r="C718" s="62" t="n"/>
      <c r="D718" s="59" t="n"/>
      <c r="E718" s="59" t="n"/>
      <c r="F718" s="59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1" t="n"/>
      <c r="X718" s="61" t="n"/>
      <c r="Y718" s="61" t="n"/>
      <c r="Z718" s="61" t="n"/>
    </row>
    <row r="719" ht="15" customHeight="1" s="150">
      <c r="A719" s="62" t="n"/>
      <c r="B719" s="62" t="n"/>
      <c r="C719" s="62" t="n"/>
      <c r="D719" s="59" t="n"/>
      <c r="E719" s="59" t="n"/>
      <c r="F719" s="59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1" t="n"/>
      <c r="X719" s="61" t="n"/>
      <c r="Y719" s="61" t="n"/>
      <c r="Z719" s="61" t="n"/>
    </row>
    <row r="720" ht="15" customHeight="1" s="150">
      <c r="A720" s="62" t="n"/>
      <c r="B720" s="62" t="n"/>
      <c r="C720" s="62" t="n"/>
      <c r="D720" s="59" t="n"/>
      <c r="E720" s="59" t="n"/>
      <c r="F720" s="59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1" t="n"/>
      <c r="X720" s="61" t="n"/>
      <c r="Y720" s="61" t="n"/>
      <c r="Z720" s="61" t="n"/>
    </row>
    <row r="721" ht="25.5" customHeight="1" s="150">
      <c r="A721" s="62" t="n"/>
      <c r="B721" s="62" t="n"/>
      <c r="C721" s="62" t="n"/>
      <c r="D721" s="59" t="n"/>
      <c r="E721" s="59" t="n"/>
      <c r="F721" s="59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1" t="n"/>
      <c r="X721" s="61" t="n"/>
      <c r="Y721" s="61" t="n"/>
      <c r="Z721" s="61" t="n"/>
    </row>
    <row r="722" ht="25.5" customHeight="1" s="150">
      <c r="A722" s="62" t="n"/>
      <c r="B722" s="62" t="n"/>
      <c r="C722" s="62" t="n"/>
      <c r="D722" s="59" t="n"/>
      <c r="E722" s="59" t="n"/>
      <c r="F722" s="59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1" t="n"/>
      <c r="X722" s="61" t="n"/>
      <c r="Y722" s="61" t="n"/>
      <c r="Z722" s="61" t="n"/>
    </row>
    <row r="723" ht="15" customHeight="1" s="150">
      <c r="A723" s="62" t="n"/>
      <c r="B723" s="62" t="n"/>
      <c r="C723" s="62" t="n"/>
      <c r="D723" s="59" t="n"/>
      <c r="E723" s="59" t="n"/>
      <c r="F723" s="59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1" t="n"/>
      <c r="X723" s="61" t="n"/>
      <c r="Y723" s="61" t="n"/>
      <c r="Z723" s="61" t="n"/>
    </row>
    <row r="724" ht="15" customHeight="1" s="150">
      <c r="A724" s="62" t="n"/>
      <c r="B724" s="62" t="n"/>
      <c r="C724" s="62" t="n"/>
      <c r="D724" s="59" t="n"/>
      <c r="E724" s="59" t="n"/>
      <c r="F724" s="59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1" t="n"/>
      <c r="X724" s="61" t="n"/>
      <c r="Y724" s="61" t="n"/>
      <c r="Z724" s="61" t="n"/>
    </row>
    <row r="725" ht="15" customHeight="1" s="150">
      <c r="A725" s="62" t="n"/>
      <c r="B725" s="62" t="n"/>
      <c r="C725" s="62" t="n"/>
      <c r="D725" s="59" t="n"/>
      <c r="E725" s="59" t="n"/>
      <c r="F725" s="59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1" t="n"/>
      <c r="X725" s="61" t="n"/>
      <c r="Y725" s="61" t="n"/>
      <c r="Z725" s="61" t="n"/>
    </row>
    <row r="726" ht="15" customHeight="1" s="150">
      <c r="A726" s="62" t="n"/>
      <c r="B726" s="62" t="n"/>
      <c r="C726" s="62" t="n"/>
      <c r="D726" s="59" t="n"/>
      <c r="E726" s="59" t="n"/>
      <c r="F726" s="59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1" t="n"/>
      <c r="X726" s="61" t="n"/>
      <c r="Y726" s="61" t="n"/>
      <c r="Z726" s="61" t="n"/>
    </row>
    <row r="727" ht="15" customHeight="1" s="150">
      <c r="A727" s="62" t="n"/>
      <c r="B727" s="62" t="n"/>
      <c r="C727" s="62" t="n"/>
      <c r="D727" s="59" t="n"/>
      <c r="E727" s="59" t="n"/>
      <c r="F727" s="59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1" t="n"/>
      <c r="X727" s="61" t="n"/>
      <c r="Y727" s="61" t="n"/>
      <c r="Z727" s="61" t="n"/>
    </row>
    <row r="728" ht="24" customHeight="1" s="150">
      <c r="A728" s="62" t="n"/>
      <c r="B728" s="62" t="n"/>
      <c r="C728" s="62" t="n"/>
      <c r="D728" s="59" t="n"/>
      <c r="E728" s="59" t="n"/>
      <c r="F728" s="59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1" t="n"/>
      <c r="X728" s="61" t="n"/>
      <c r="Y728" s="61" t="n"/>
      <c r="Z728" s="61" t="n"/>
    </row>
    <row r="729" ht="24" customHeight="1" s="150">
      <c r="A729" s="62" t="n"/>
      <c r="B729" s="62" t="n"/>
      <c r="C729" s="62" t="n"/>
      <c r="D729" s="59" t="n"/>
      <c r="E729" s="59" t="n"/>
      <c r="F729" s="59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1" t="n"/>
      <c r="X729" s="61" t="n"/>
      <c r="Y729" s="61" t="n"/>
      <c r="Z729" s="61" t="n"/>
    </row>
    <row r="730" ht="12.75" customHeight="1" s="150">
      <c r="A730" s="62" t="n"/>
      <c r="B730" s="62" t="n"/>
      <c r="C730" s="62" t="n"/>
      <c r="D730" s="59" t="n"/>
      <c r="E730" s="59" t="n"/>
      <c r="F730" s="59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1" t="n"/>
      <c r="X730" s="61" t="n"/>
      <c r="Y730" s="61" t="n"/>
      <c r="Z730" s="61" t="n"/>
    </row>
    <row r="731" ht="12.75" customHeight="1" s="150">
      <c r="A731" s="62" t="n"/>
      <c r="B731" s="62" t="n"/>
      <c r="C731" s="63" t="n"/>
      <c r="D731" s="59" t="n"/>
      <c r="E731" s="59" t="n"/>
      <c r="F731" s="59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1" t="n"/>
      <c r="X731" s="61" t="n"/>
      <c r="Y731" s="61" t="n"/>
      <c r="Z731" s="61" t="n"/>
    </row>
    <row r="732" ht="12.75" customHeight="1" s="150">
      <c r="A732" s="62" t="n"/>
      <c r="B732" s="62" t="n"/>
      <c r="C732" s="58" t="n"/>
      <c r="D732" s="59" t="n"/>
      <c r="E732" s="59" t="n"/>
      <c r="F732" s="59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1" t="n"/>
      <c r="X732" s="61" t="n"/>
      <c r="Y732" s="61" t="n"/>
      <c r="Z732" s="61" t="n"/>
    </row>
    <row r="733" ht="25.5" customHeight="1" s="150">
      <c r="A733" s="62" t="n"/>
      <c r="B733" s="62" t="n"/>
      <c r="C733" s="62" t="n"/>
      <c r="D733" s="59" t="n"/>
      <c r="E733" s="59" t="n"/>
      <c r="F733" s="59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1" t="n"/>
      <c r="X733" s="61" t="n"/>
      <c r="Y733" s="61" t="n"/>
      <c r="Z733" s="61" t="n"/>
    </row>
    <row r="734" ht="12.75" customHeight="1" s="150">
      <c r="A734" s="62" t="n"/>
      <c r="B734" s="62" t="n"/>
      <c r="C734" s="62" t="n"/>
      <c r="D734" s="59" t="n"/>
      <c r="E734" s="59" t="n"/>
      <c r="F734" s="59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1" t="n"/>
      <c r="X734" s="61" t="n"/>
      <c r="Y734" s="61" t="n"/>
      <c r="Z734" s="61" t="n"/>
    </row>
    <row r="735" ht="12.75" customHeight="1" s="150">
      <c r="A735" s="62" t="n"/>
      <c r="B735" s="62" t="n"/>
      <c r="C735" s="62" t="n"/>
      <c r="D735" s="59" t="n"/>
      <c r="E735" s="59" t="n"/>
      <c r="F735" s="59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1" t="n"/>
      <c r="X735" s="61" t="n"/>
      <c r="Y735" s="61" t="n"/>
      <c r="Z735" s="61" t="n"/>
    </row>
    <row r="736" ht="12.75" customHeight="1" s="150">
      <c r="A736" s="62" t="n"/>
      <c r="B736" s="62" t="n"/>
      <c r="C736" s="62" t="n"/>
      <c r="D736" s="59" t="n"/>
      <c r="E736" s="59" t="n"/>
      <c r="F736" s="59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1" t="n"/>
      <c r="X736" s="61" t="n"/>
      <c r="Y736" s="61" t="n"/>
      <c r="Z736" s="61" t="n"/>
    </row>
    <row r="737" ht="12.75" customHeight="1" s="150">
      <c r="A737" s="62" t="n"/>
      <c r="B737" s="62" t="n"/>
      <c r="C737" s="62" t="n"/>
      <c r="D737" s="59" t="n"/>
      <c r="E737" s="59" t="n"/>
      <c r="F737" s="59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1" t="n"/>
      <c r="X737" s="61" t="n"/>
      <c r="Y737" s="61" t="n"/>
      <c r="Z737" s="61" t="n"/>
    </row>
    <row r="738" ht="12.75" customHeight="1" s="150">
      <c r="A738" s="62" t="n"/>
      <c r="B738" s="62" t="n"/>
      <c r="C738" s="62" t="n"/>
      <c r="D738" s="59" t="n"/>
      <c r="E738" s="59" t="n"/>
      <c r="F738" s="59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1" t="n"/>
      <c r="X738" s="61" t="n"/>
      <c r="Y738" s="61" t="n"/>
      <c r="Z738" s="61" t="n"/>
    </row>
    <row r="739" ht="15" customHeight="1" s="150">
      <c r="A739" s="62" t="n"/>
      <c r="B739" s="62" t="n"/>
      <c r="C739" s="58" t="n"/>
      <c r="D739" s="59" t="n"/>
      <c r="E739" s="59" t="n"/>
      <c r="F739" s="59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1" t="n"/>
      <c r="X739" s="61" t="n"/>
      <c r="Y739" s="61" t="n"/>
      <c r="Z739" s="61" t="n"/>
    </row>
    <row r="740" ht="15" customHeight="1" s="150">
      <c r="A740" s="62" t="n"/>
      <c r="B740" s="63" t="n"/>
      <c r="C740" s="62" t="n"/>
      <c r="D740" s="59" t="n"/>
      <c r="E740" s="59" t="n"/>
      <c r="F740" s="59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1" t="n"/>
      <c r="X740" s="61" t="n"/>
      <c r="Y740" s="61" t="n"/>
      <c r="Z740" s="61" t="n"/>
    </row>
    <row r="741" ht="15" customHeight="1" s="150">
      <c r="A741" s="62" t="n"/>
      <c r="B741" s="58" t="n"/>
      <c r="C741" s="58" t="n"/>
      <c r="D741" s="59" t="n"/>
      <c r="E741" s="59" t="n"/>
      <c r="F741" s="59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1" t="n"/>
      <c r="X741" s="61" t="n"/>
      <c r="Y741" s="61" t="n"/>
      <c r="Z741" s="61" t="n"/>
    </row>
    <row r="742" ht="15" customHeight="1" s="150">
      <c r="A742" s="62" t="n"/>
      <c r="B742" s="62" t="n"/>
      <c r="C742" s="62" t="n"/>
      <c r="D742" s="59" t="n"/>
      <c r="E742" s="59" t="n"/>
      <c r="F742" s="59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1" t="n"/>
      <c r="X742" s="61" t="n"/>
      <c r="Y742" s="61" t="n"/>
      <c r="Z742" s="61" t="n"/>
    </row>
    <row r="743" ht="15" customHeight="1" s="150">
      <c r="A743" s="62" t="n"/>
      <c r="B743" s="62" t="n"/>
      <c r="C743" s="62" t="n"/>
      <c r="D743" s="59" t="n"/>
      <c r="E743" s="59" t="n"/>
      <c r="F743" s="58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1" t="n"/>
      <c r="X743" s="61" t="n"/>
      <c r="Y743" s="61" t="n"/>
      <c r="Z743" s="61" t="n"/>
    </row>
    <row r="744" ht="15" customHeight="1" s="150">
      <c r="A744" s="62" t="n"/>
      <c r="B744" s="62" t="n"/>
      <c r="C744" s="62" t="n"/>
      <c r="D744" s="59" t="n"/>
      <c r="E744" s="60" t="n"/>
      <c r="F744" s="62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1" t="n"/>
      <c r="X744" s="61" t="n"/>
      <c r="Y744" s="61" t="n"/>
      <c r="Z744" s="61" t="n"/>
    </row>
    <row r="745" ht="15" customHeight="1" s="150">
      <c r="A745" s="62" t="n"/>
      <c r="B745" s="62" t="n"/>
      <c r="C745" s="62" t="n"/>
      <c r="D745" s="59" t="n"/>
      <c r="E745" s="60" t="n"/>
      <c r="F745" s="62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1" t="n"/>
      <c r="X745" s="61" t="n"/>
      <c r="Y745" s="61" t="n"/>
      <c r="Z745" s="61" t="n"/>
    </row>
    <row r="746" ht="15" customHeight="1" s="150">
      <c r="A746" s="62" t="n"/>
      <c r="B746" s="62" t="n"/>
      <c r="C746" s="62" t="n"/>
      <c r="D746" s="59" t="n"/>
      <c r="E746" s="60" t="n"/>
      <c r="F746" s="62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1" t="n"/>
      <c r="X746" s="61" t="n"/>
      <c r="Y746" s="61" t="n"/>
      <c r="Z746" s="61" t="n"/>
    </row>
    <row r="747" ht="15" customHeight="1" s="150">
      <c r="A747" s="62" t="n"/>
      <c r="B747" s="62" t="n"/>
      <c r="C747" s="62" t="n"/>
      <c r="D747" s="59" t="n"/>
      <c r="E747" s="60" t="n"/>
      <c r="F747" s="62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1" t="n"/>
      <c r="X747" s="61" t="n"/>
      <c r="Y747" s="61" t="n"/>
      <c r="Z747" s="61" t="n"/>
    </row>
    <row r="748" ht="15" customHeight="1" s="150">
      <c r="A748" s="62" t="n"/>
      <c r="B748" s="62" t="n"/>
      <c r="C748" s="62" t="n"/>
      <c r="D748" s="59" t="n"/>
      <c r="E748" s="60" t="n"/>
      <c r="F748" s="63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1" t="n"/>
      <c r="X748" s="61" t="n"/>
      <c r="Y748" s="61" t="n"/>
      <c r="Z748" s="61" t="n"/>
    </row>
    <row r="749" ht="15" customHeight="1" s="150">
      <c r="A749" s="62" t="n"/>
      <c r="B749" s="62" t="n"/>
      <c r="C749" s="58" t="n"/>
      <c r="D749" s="59" t="n"/>
      <c r="E749" s="59" t="n"/>
      <c r="F749" s="59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1" t="n"/>
      <c r="X749" s="61" t="n"/>
      <c r="Y749" s="61" t="n"/>
      <c r="Z749" s="61" t="n"/>
    </row>
    <row r="750" ht="15" customHeight="1" s="150">
      <c r="A750" s="62" t="n"/>
      <c r="B750" s="62" t="n"/>
      <c r="C750" s="62" t="n"/>
      <c r="D750" s="59" t="n"/>
      <c r="E750" s="59" t="n"/>
      <c r="F750" s="59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1" t="n"/>
      <c r="X750" s="61" t="n"/>
      <c r="Y750" s="61" t="n"/>
      <c r="Z750" s="61" t="n"/>
    </row>
    <row r="751" ht="15" customHeight="1" s="150">
      <c r="A751" s="62" t="n"/>
      <c r="B751" s="62" t="n"/>
      <c r="C751" s="62" t="n"/>
      <c r="D751" s="59" t="n"/>
      <c r="E751" s="59" t="n"/>
      <c r="F751" s="59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1" t="n"/>
      <c r="X751" s="61" t="n"/>
      <c r="Y751" s="61" t="n"/>
      <c r="Z751" s="61" t="n"/>
    </row>
    <row r="752" ht="15" customHeight="1" s="150">
      <c r="A752" s="62" t="n"/>
      <c r="B752" s="62" t="n"/>
      <c r="C752" s="62" t="n"/>
      <c r="D752" s="59" t="n"/>
      <c r="E752" s="59" t="n"/>
      <c r="F752" s="59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1" t="n"/>
      <c r="X752" s="61" t="n"/>
      <c r="Y752" s="61" t="n"/>
      <c r="Z752" s="61" t="n"/>
    </row>
    <row r="753" ht="15" customHeight="1" s="150">
      <c r="A753" s="62" t="n"/>
      <c r="B753" s="58" t="n"/>
      <c r="C753" s="58" t="n"/>
      <c r="D753" s="59" t="n"/>
      <c r="E753" s="59" t="n"/>
      <c r="F753" s="59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1" t="n"/>
      <c r="X753" s="61" t="n"/>
      <c r="Y753" s="61" t="n"/>
      <c r="Z753" s="61" t="n"/>
    </row>
    <row r="754" ht="15" customHeight="1" s="150">
      <c r="A754" s="62" t="n"/>
      <c r="B754" s="62" t="n"/>
      <c r="C754" s="62" t="n"/>
      <c r="D754" s="59" t="n"/>
      <c r="E754" s="59" t="n"/>
      <c r="F754" s="59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1" t="n"/>
      <c r="X754" s="61" t="n"/>
      <c r="Y754" s="61" t="n"/>
      <c r="Z754" s="61" t="n"/>
    </row>
    <row r="755" ht="15" customHeight="1" s="150">
      <c r="A755" s="63" t="n"/>
      <c r="B755" s="63" t="n"/>
      <c r="C755" s="63" t="n"/>
      <c r="D755" s="59" t="n"/>
      <c r="E755" s="59" t="n"/>
      <c r="F755" s="59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1" t="n"/>
      <c r="X755" s="61" t="n"/>
      <c r="Y755" s="61" t="n"/>
      <c r="Z755" s="61" t="n"/>
    </row>
    <row r="756" ht="15" customHeight="1" s="150">
      <c r="A756" s="58" t="n"/>
      <c r="B756" s="58" t="n"/>
      <c r="C756" s="58" t="n"/>
      <c r="D756" s="59" t="n"/>
      <c r="E756" s="60" t="n"/>
      <c r="F756" s="59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1" t="n"/>
      <c r="X756" s="61" t="n"/>
      <c r="Y756" s="61" t="n"/>
      <c r="Z756" s="61" t="n"/>
    </row>
    <row r="757" ht="15" customHeight="1" s="150">
      <c r="A757" s="62" t="n"/>
      <c r="B757" s="62" t="n"/>
      <c r="C757" s="62" t="n"/>
      <c r="D757" s="59" t="n"/>
      <c r="E757" s="60" t="n"/>
      <c r="F757" s="59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1" t="n"/>
      <c r="X757" s="61" t="n"/>
      <c r="Y757" s="61" t="n"/>
      <c r="Z757" s="61" t="n"/>
    </row>
    <row r="758" ht="25.5" customHeight="1" s="150">
      <c r="A758" s="62" t="n"/>
      <c r="B758" s="62" t="n"/>
      <c r="C758" s="62" t="n"/>
      <c r="D758" s="59" t="n"/>
      <c r="E758" s="60" t="n"/>
      <c r="F758" s="59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1" t="n"/>
      <c r="X758" s="61" t="n"/>
      <c r="Y758" s="61" t="n"/>
      <c r="Z758" s="61" t="n"/>
    </row>
    <row r="759" ht="15" customHeight="1" s="150">
      <c r="A759" s="62" t="n"/>
      <c r="B759" s="62" t="n"/>
      <c r="C759" s="62" t="n"/>
      <c r="D759" s="59" t="n"/>
      <c r="E759" s="60" t="n"/>
      <c r="F759" s="59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1" t="n"/>
      <c r="X759" s="61" t="n"/>
      <c r="Y759" s="61" t="n"/>
      <c r="Z759" s="61" t="n"/>
    </row>
    <row r="760" ht="15" customHeight="1" s="150">
      <c r="A760" s="62" t="n"/>
      <c r="B760" s="62" t="n"/>
      <c r="C760" s="62" t="n"/>
      <c r="D760" s="59" t="n"/>
      <c r="E760" s="60" t="n"/>
      <c r="F760" s="59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1" t="n"/>
      <c r="X760" s="61" t="n"/>
      <c r="Y760" s="61" t="n"/>
      <c r="Z760" s="61" t="n"/>
    </row>
    <row r="761" ht="12.75" customHeight="1" s="150">
      <c r="A761" s="62" t="n"/>
      <c r="B761" s="62" t="n"/>
      <c r="C761" s="62" t="n"/>
      <c r="D761" s="59" t="n"/>
      <c r="E761" s="60" t="n"/>
      <c r="F761" s="59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1" t="n"/>
      <c r="X761" s="61" t="n"/>
      <c r="Y761" s="61" t="n"/>
      <c r="Z761" s="61" t="n"/>
    </row>
    <row r="762" ht="12.75" customHeight="1" s="150">
      <c r="A762" s="62" t="n"/>
      <c r="B762" s="62" t="n"/>
      <c r="C762" s="62" t="n"/>
      <c r="D762" s="59" t="n"/>
      <c r="E762" s="60" t="n"/>
      <c r="F762" s="59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1" t="n"/>
      <c r="X762" s="61" t="n"/>
      <c r="Y762" s="61" t="n"/>
      <c r="Z762" s="61" t="n"/>
    </row>
    <row r="763" ht="25.5" customHeight="1" s="150">
      <c r="A763" s="62" t="n"/>
      <c r="B763" s="62" t="n"/>
      <c r="C763" s="63" t="n"/>
      <c r="D763" s="59" t="n"/>
      <c r="E763" s="60" t="n"/>
      <c r="F763" s="59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1" t="n"/>
      <c r="X763" s="61" t="n"/>
      <c r="Y763" s="61" t="n"/>
      <c r="Z763" s="61" t="n"/>
    </row>
    <row r="764" ht="15" customHeight="1" s="150">
      <c r="A764" s="62" t="n"/>
      <c r="B764" s="62" t="n"/>
      <c r="C764" s="60" t="n"/>
      <c r="D764" s="59" t="n"/>
      <c r="E764" s="60" t="n"/>
      <c r="F764" s="59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1" t="n"/>
      <c r="X764" s="61" t="n"/>
      <c r="Y764" s="61" t="n"/>
      <c r="Z764" s="61" t="n"/>
    </row>
    <row r="765" ht="15" customHeight="1" s="150">
      <c r="A765" s="62" t="n"/>
      <c r="B765" s="62" t="n"/>
      <c r="C765" s="58" t="n"/>
      <c r="D765" s="59" t="n"/>
      <c r="E765" s="60" t="n"/>
      <c r="F765" s="59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1" t="n"/>
      <c r="X765" s="61" t="n"/>
      <c r="Y765" s="61" t="n"/>
      <c r="Z765" s="61" t="n"/>
    </row>
    <row r="766" ht="15" customHeight="1" s="150">
      <c r="A766" s="62" t="n"/>
      <c r="B766" s="62" t="n"/>
      <c r="C766" s="62" t="n"/>
      <c r="D766" s="59" t="n"/>
      <c r="E766" s="60" t="n"/>
      <c r="F766" s="59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1" t="n"/>
      <c r="X766" s="61" t="n"/>
      <c r="Y766" s="61" t="n"/>
      <c r="Z766" s="61" t="n"/>
    </row>
    <row r="767" ht="25.5" customHeight="1" s="150">
      <c r="A767" s="62" t="n"/>
      <c r="B767" s="62" t="n"/>
      <c r="C767" s="62" t="n"/>
      <c r="D767" s="59" t="n"/>
      <c r="E767" s="60" t="n"/>
      <c r="F767" s="59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1" t="n"/>
      <c r="X767" s="61" t="n"/>
      <c r="Y767" s="61" t="n"/>
      <c r="Z767" s="61" t="n"/>
    </row>
    <row r="768" ht="12.75" customHeight="1" s="150">
      <c r="A768" s="62" t="n"/>
      <c r="B768" s="63" t="n"/>
      <c r="C768" s="63" t="n"/>
      <c r="D768" s="59" t="n"/>
      <c r="E768" s="60" t="n"/>
      <c r="F768" s="59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1" t="n"/>
      <c r="X768" s="61" t="n"/>
      <c r="Y768" s="61" t="n"/>
      <c r="Z768" s="61" t="n"/>
    </row>
    <row r="769" ht="25.5" customHeight="1" s="150">
      <c r="A769" s="62" t="n"/>
      <c r="B769" s="58" t="n"/>
      <c r="C769" s="58" t="n"/>
      <c r="D769" s="59" t="n"/>
      <c r="E769" s="60" t="n"/>
      <c r="F769" s="59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1" t="n"/>
      <c r="X769" s="61" t="n"/>
      <c r="Y769" s="61" t="n"/>
      <c r="Z769" s="61" t="n"/>
    </row>
    <row r="770" ht="12.75" customHeight="1" s="150">
      <c r="A770" s="62" t="n"/>
      <c r="B770" s="62" t="n"/>
      <c r="C770" s="62" t="n"/>
      <c r="D770" s="59" t="n"/>
      <c r="E770" s="60" t="n"/>
      <c r="F770" s="59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1" t="n"/>
      <c r="X770" s="61" t="n"/>
      <c r="Y770" s="61" t="n"/>
      <c r="Z770" s="61" t="n"/>
    </row>
    <row r="771" ht="12.75" customHeight="1" s="150">
      <c r="A771" s="62" t="n"/>
      <c r="B771" s="62" t="n"/>
      <c r="C771" s="62" t="n"/>
      <c r="D771" s="59" t="n"/>
      <c r="E771" s="60" t="n"/>
      <c r="F771" s="59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1" t="n"/>
      <c r="X771" s="61" t="n"/>
      <c r="Y771" s="61" t="n"/>
      <c r="Z771" s="61" t="n"/>
    </row>
    <row r="772" ht="12.75" customHeight="1" s="150">
      <c r="A772" s="62" t="n"/>
      <c r="B772" s="62" t="n"/>
      <c r="C772" s="62" t="n"/>
      <c r="D772" s="59" t="n"/>
      <c r="E772" s="60" t="n"/>
      <c r="F772" s="59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1" t="n"/>
      <c r="X772" s="61" t="n"/>
      <c r="Y772" s="61" t="n"/>
      <c r="Z772" s="61" t="n"/>
    </row>
    <row r="773" ht="25.5" customHeight="1" s="150">
      <c r="A773" s="62" t="n"/>
      <c r="B773" s="62" t="n"/>
      <c r="C773" s="62" t="n"/>
      <c r="D773" s="59" t="n"/>
      <c r="E773" s="60" t="n"/>
      <c r="F773" s="59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1" t="n"/>
      <c r="X773" s="61" t="n"/>
      <c r="Y773" s="61" t="n"/>
      <c r="Z773" s="61" t="n"/>
    </row>
    <row r="774" ht="12.75" customHeight="1" s="150">
      <c r="A774" s="62" t="n"/>
      <c r="B774" s="62" t="n"/>
      <c r="C774" s="62" t="n"/>
      <c r="D774" s="59" t="n"/>
      <c r="E774" s="60" t="n"/>
      <c r="F774" s="59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1" t="n"/>
      <c r="X774" s="61" t="n"/>
      <c r="Y774" s="61" t="n"/>
      <c r="Z774" s="61" t="n"/>
    </row>
    <row r="775" ht="12.75" customHeight="1" s="150">
      <c r="A775" s="62" t="n"/>
      <c r="B775" s="62" t="n"/>
      <c r="C775" s="62" t="n"/>
      <c r="D775" s="59" t="n"/>
      <c r="E775" s="60" t="n"/>
      <c r="F775" s="59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1" t="n"/>
      <c r="X775" s="61" t="n"/>
      <c r="Y775" s="61" t="n"/>
      <c r="Z775" s="61" t="n"/>
    </row>
    <row r="776" ht="12.75" customHeight="1" s="150">
      <c r="A776" s="62" t="n"/>
      <c r="B776" s="62" t="n"/>
      <c r="C776" s="62" t="n"/>
      <c r="D776" s="59" t="n"/>
      <c r="E776" s="60" t="n"/>
      <c r="F776" s="59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1" t="n"/>
      <c r="X776" s="61" t="n"/>
      <c r="Y776" s="61" t="n"/>
      <c r="Z776" s="61" t="n"/>
    </row>
    <row r="777" ht="12.75" customHeight="1" s="150">
      <c r="A777" s="62" t="n"/>
      <c r="B777" s="63" t="n"/>
      <c r="C777" s="63" t="n"/>
      <c r="D777" s="59" t="n"/>
      <c r="E777" s="60" t="n"/>
      <c r="F777" s="59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1" t="n"/>
      <c r="X777" s="61" t="n"/>
      <c r="Y777" s="61" t="n"/>
      <c r="Z777" s="61" t="n"/>
    </row>
    <row r="778" ht="25.5" customHeight="1" s="150">
      <c r="A778" s="62" t="n"/>
      <c r="B778" s="58" t="n"/>
      <c r="C778" s="58" t="n"/>
      <c r="D778" s="59" t="n"/>
      <c r="E778" s="60" t="n"/>
      <c r="F778" s="59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1" t="n"/>
      <c r="X778" s="61" t="n"/>
      <c r="Y778" s="61" t="n"/>
      <c r="Z778" s="61" t="n"/>
    </row>
    <row r="779" ht="25.5" customHeight="1" s="150">
      <c r="A779" s="62" t="n"/>
      <c r="B779" s="62" t="n"/>
      <c r="C779" s="62" t="n"/>
      <c r="D779" s="59" t="n"/>
      <c r="E779" s="60" t="n"/>
      <c r="F779" s="59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1" t="n"/>
      <c r="X779" s="61" t="n"/>
      <c r="Y779" s="61" t="n"/>
      <c r="Z779" s="61" t="n"/>
    </row>
    <row r="780" ht="15" customHeight="1" s="150">
      <c r="A780" s="62" t="n"/>
      <c r="B780" s="62" t="n"/>
      <c r="C780" s="62" t="n"/>
      <c r="D780" s="59" t="n"/>
      <c r="E780" s="60" t="n"/>
      <c r="F780" s="59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1" t="n"/>
      <c r="X780" s="61" t="n"/>
      <c r="Y780" s="61" t="n"/>
      <c r="Z780" s="61" t="n"/>
    </row>
    <row r="781" ht="15" customHeight="1" s="150">
      <c r="A781" s="62" t="n"/>
      <c r="B781" s="62" t="n"/>
      <c r="C781" s="62" t="n"/>
      <c r="D781" s="59" t="n"/>
      <c r="E781" s="60" t="n"/>
      <c r="F781" s="59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1" t="n"/>
      <c r="X781" s="61" t="n"/>
      <c r="Y781" s="61" t="n"/>
      <c r="Z781" s="61" t="n"/>
    </row>
    <row r="782" ht="12.75" customHeight="1" s="150">
      <c r="A782" s="62" t="n"/>
      <c r="B782" s="63" t="n"/>
      <c r="C782" s="63" t="n"/>
      <c r="D782" s="59" t="n"/>
      <c r="E782" s="60" t="n"/>
      <c r="F782" s="59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1" t="n"/>
      <c r="X782" s="61" t="n"/>
      <c r="Y782" s="61" t="n"/>
      <c r="Z782" s="61" t="n"/>
    </row>
    <row r="783" ht="12.75" customHeight="1" s="150">
      <c r="A783" s="62" t="n"/>
      <c r="B783" s="58" t="n"/>
      <c r="C783" s="58" t="n"/>
      <c r="D783" s="59" t="n"/>
      <c r="E783" s="60" t="n"/>
      <c r="F783" s="59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1" t="n"/>
      <c r="X783" s="61" t="n"/>
      <c r="Y783" s="61" t="n"/>
      <c r="Z783" s="61" t="n"/>
    </row>
    <row r="784" ht="12.75" customHeight="1" s="150">
      <c r="A784" s="63" t="n"/>
      <c r="B784" s="63" t="n"/>
      <c r="C784" s="63" t="n"/>
      <c r="D784" s="59" t="n"/>
      <c r="E784" s="60" t="n"/>
      <c r="F784" s="59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1" t="n"/>
      <c r="X784" s="61" t="n"/>
      <c r="Y784" s="61" t="n"/>
      <c r="Z784" s="61" t="n"/>
    </row>
    <row r="785" ht="12.75" customHeight="1" s="150">
      <c r="A785" s="58" t="n"/>
      <c r="B785" s="58" t="n"/>
      <c r="C785" s="58" t="n"/>
      <c r="D785" s="59" t="n"/>
      <c r="E785" s="60" t="n"/>
      <c r="F785" s="59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1" t="n"/>
      <c r="X785" s="61" t="n"/>
      <c r="Y785" s="61" t="n"/>
      <c r="Z785" s="61" t="n"/>
    </row>
    <row r="786" ht="12.75" customHeight="1" s="150">
      <c r="A786" s="62" t="n"/>
      <c r="B786" s="62" t="n"/>
      <c r="C786" s="62" t="n"/>
      <c r="D786" s="59" t="n"/>
      <c r="E786" s="60" t="n"/>
      <c r="F786" s="59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1" t="n"/>
      <c r="X786" s="61" t="n"/>
      <c r="Y786" s="61" t="n"/>
      <c r="Z786" s="61" t="n"/>
    </row>
    <row r="787" ht="12.75" customHeight="1" s="150">
      <c r="A787" s="62" t="n"/>
      <c r="B787" s="62" t="n"/>
      <c r="C787" s="62" t="n"/>
      <c r="D787" s="59" t="n"/>
      <c r="E787" s="60" t="n"/>
      <c r="F787" s="59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1" t="n"/>
      <c r="X787" s="61" t="n"/>
      <c r="Y787" s="61" t="n"/>
      <c r="Z787" s="61" t="n"/>
    </row>
    <row r="788" ht="12.75" customHeight="1" s="150">
      <c r="A788" s="62" t="n"/>
      <c r="B788" s="62" t="n"/>
      <c r="C788" s="62" t="n"/>
      <c r="D788" s="59" t="n"/>
      <c r="E788" s="60" t="n"/>
      <c r="F788" s="59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1" t="n"/>
      <c r="X788" s="61" t="n"/>
      <c r="Y788" s="61" t="n"/>
      <c r="Z788" s="61" t="n"/>
    </row>
    <row r="789" ht="12.75" customHeight="1" s="150">
      <c r="A789" s="62" t="n"/>
      <c r="B789" s="62" t="n"/>
      <c r="C789" s="62" t="n"/>
      <c r="D789" s="59" t="n"/>
      <c r="E789" s="60" t="n"/>
      <c r="F789" s="59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1" t="n"/>
      <c r="X789" s="61" t="n"/>
      <c r="Y789" s="61" t="n"/>
      <c r="Z789" s="61" t="n"/>
    </row>
    <row r="790" ht="15" customHeight="1" s="150">
      <c r="A790" s="62" t="n"/>
      <c r="B790" s="63" t="n"/>
      <c r="C790" s="63" t="n"/>
      <c r="D790" s="59" t="n"/>
      <c r="E790" s="60" t="n"/>
      <c r="F790" s="59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1" t="n"/>
      <c r="X790" s="61" t="n"/>
      <c r="Y790" s="61" t="n"/>
      <c r="Z790" s="61" t="n"/>
    </row>
    <row r="791" ht="15" customHeight="1" s="150">
      <c r="A791" s="62" t="n"/>
      <c r="B791" s="60" t="n"/>
      <c r="C791" s="60" t="n"/>
      <c r="D791" s="59" t="n"/>
      <c r="E791" s="60" t="n"/>
      <c r="F791" s="59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1" t="n"/>
      <c r="X791" s="61" t="n"/>
      <c r="Y791" s="61" t="n"/>
      <c r="Z791" s="61" t="n"/>
    </row>
    <row r="792" ht="15" customHeight="1" s="150">
      <c r="A792" s="62" t="n"/>
      <c r="B792" s="58" t="n"/>
      <c r="C792" s="58" t="n"/>
      <c r="D792" s="59" t="n"/>
      <c r="E792" s="60" t="n"/>
      <c r="F792" s="59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1" t="n"/>
      <c r="X792" s="61" t="n"/>
      <c r="Y792" s="61" t="n"/>
      <c r="Z792" s="61" t="n"/>
    </row>
    <row r="793" ht="15" customHeight="1" s="150">
      <c r="A793" s="62" t="n"/>
      <c r="B793" s="62" t="n"/>
      <c r="C793" s="62" t="n"/>
      <c r="D793" s="59" t="n"/>
      <c r="E793" s="60" t="n"/>
      <c r="F793" s="59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1" t="n"/>
      <c r="X793" s="61" t="n"/>
      <c r="Y793" s="61" t="n"/>
      <c r="Z793" s="61" t="n"/>
    </row>
    <row r="794" ht="15" customHeight="1" s="150">
      <c r="A794" s="62" t="n"/>
      <c r="B794" s="62" t="n"/>
      <c r="C794" s="62" t="n"/>
      <c r="D794" s="59" t="n"/>
      <c r="E794" s="59" t="n"/>
      <c r="F794" s="59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1" t="n"/>
      <c r="X794" s="61" t="n"/>
      <c r="Y794" s="61" t="n"/>
      <c r="Z794" s="61" t="n"/>
    </row>
    <row r="795" ht="25.5" customHeight="1" s="150">
      <c r="A795" s="62" t="n"/>
      <c r="B795" s="62" t="n"/>
      <c r="C795" s="62" t="n"/>
      <c r="D795" s="59" t="n"/>
      <c r="E795" s="60" t="n"/>
      <c r="F795" s="59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1" t="n"/>
      <c r="X795" s="61" t="n"/>
      <c r="Y795" s="61" t="n"/>
      <c r="Z795" s="61" t="n"/>
    </row>
    <row r="796" ht="12.75" customHeight="1" s="150">
      <c r="A796" s="62" t="n"/>
      <c r="B796" s="63" t="n"/>
      <c r="C796" s="63" t="n"/>
      <c r="D796" s="59" t="n"/>
      <c r="E796" s="60" t="n"/>
      <c r="F796" s="59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1" t="n"/>
      <c r="X796" s="61" t="n"/>
      <c r="Y796" s="61" t="n"/>
      <c r="Z796" s="61" t="n"/>
    </row>
    <row r="797" ht="12.75" customHeight="1" s="150">
      <c r="A797" s="62" t="n"/>
      <c r="B797" s="58" t="n"/>
      <c r="C797" s="58" t="n"/>
      <c r="D797" s="59" t="n"/>
      <c r="E797" s="60" t="n"/>
      <c r="F797" s="59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1" t="n"/>
      <c r="X797" s="61" t="n"/>
      <c r="Y797" s="61" t="n"/>
      <c r="Z797" s="61" t="n"/>
    </row>
    <row r="798" ht="12.75" customHeight="1" s="150">
      <c r="A798" s="63" t="n"/>
      <c r="B798" s="63" t="n"/>
      <c r="C798" s="63" t="n"/>
      <c r="D798" s="59" t="n"/>
      <c r="E798" s="60" t="n"/>
      <c r="F798" s="59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1" t="n"/>
      <c r="X798" s="61" t="n"/>
      <c r="Y798" s="61" t="n"/>
      <c r="Z798" s="61" t="n"/>
    </row>
    <row r="799" ht="12.75" customHeight="1" s="150">
      <c r="A799" s="58" t="n"/>
      <c r="B799" s="58" t="n"/>
      <c r="C799" s="58" t="n"/>
      <c r="D799" s="59" t="n"/>
      <c r="E799" s="60" t="n"/>
      <c r="F799" s="59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1" t="n"/>
      <c r="X799" s="61" t="n"/>
      <c r="Y799" s="61" t="n"/>
      <c r="Z799" s="61" t="n"/>
    </row>
    <row r="800" ht="15" customHeight="1" s="150">
      <c r="A800" s="62" t="n"/>
      <c r="B800" s="62" t="n"/>
      <c r="C800" s="62" t="n"/>
      <c r="D800" s="59" t="n"/>
      <c r="E800" s="60" t="n"/>
      <c r="F800" s="59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1" t="n"/>
      <c r="X800" s="61" t="n"/>
      <c r="Y800" s="61" t="n"/>
      <c r="Z800" s="61" t="n"/>
    </row>
    <row r="801" ht="15" customHeight="1" s="150">
      <c r="A801" s="62" t="n"/>
      <c r="B801" s="62" t="n"/>
      <c r="C801" s="62" t="n"/>
      <c r="D801" s="59" t="n"/>
      <c r="E801" s="60" t="n"/>
      <c r="F801" s="59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1" t="n"/>
      <c r="X801" s="61" t="n"/>
      <c r="Y801" s="61" t="n"/>
      <c r="Z801" s="61" t="n"/>
    </row>
    <row r="802" ht="12.75" customHeight="1" s="150">
      <c r="A802" s="62" t="n"/>
      <c r="B802" s="62" t="n"/>
      <c r="C802" s="62" t="n"/>
      <c r="D802" s="59" t="n"/>
      <c r="E802" s="60" t="n"/>
      <c r="F802" s="59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1" t="n"/>
      <c r="X802" s="61" t="n"/>
      <c r="Y802" s="61" t="n"/>
      <c r="Z802" s="61" t="n"/>
    </row>
    <row r="803" ht="25.5" customHeight="1" s="150">
      <c r="A803" s="62" t="n"/>
      <c r="B803" s="62" t="n"/>
      <c r="C803" s="62" t="n"/>
      <c r="D803" s="59" t="n"/>
      <c r="E803" s="60" t="n"/>
      <c r="F803" s="59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1" t="n"/>
      <c r="X803" s="61" t="n"/>
      <c r="Y803" s="61" t="n"/>
      <c r="Z803" s="61" t="n"/>
    </row>
    <row r="804" ht="25.5" customHeight="1" s="150">
      <c r="A804" s="62" t="n"/>
      <c r="B804" s="63" t="n"/>
      <c r="C804" s="63" t="n"/>
      <c r="D804" s="59" t="n"/>
      <c r="E804" s="60" t="n"/>
      <c r="F804" s="59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1" t="n"/>
      <c r="X804" s="61" t="n"/>
      <c r="Y804" s="61" t="n"/>
      <c r="Z804" s="61" t="n"/>
    </row>
    <row r="805" ht="15" customHeight="1" s="150">
      <c r="A805" s="62" t="n"/>
      <c r="B805" s="60" t="n"/>
      <c r="C805" s="60" t="n"/>
      <c r="D805" s="59" t="n"/>
      <c r="E805" s="60" t="n"/>
      <c r="F805" s="59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1" t="n"/>
      <c r="X805" s="61" t="n"/>
      <c r="Y805" s="61" t="n"/>
      <c r="Z805" s="61" t="n"/>
    </row>
    <row r="806" ht="15" customHeight="1" s="150">
      <c r="A806" s="62" t="n"/>
      <c r="B806" s="58" t="n"/>
      <c r="C806" s="58" t="n"/>
      <c r="D806" s="59" t="n"/>
      <c r="E806" s="60" t="n"/>
      <c r="F806" s="59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1" t="n"/>
      <c r="X806" s="61" t="n"/>
      <c r="Y806" s="61" t="n"/>
      <c r="Z806" s="61" t="n"/>
    </row>
    <row r="807" ht="15" customHeight="1" s="150">
      <c r="A807" s="62" t="n"/>
      <c r="B807" s="62" t="n"/>
      <c r="C807" s="62" t="n"/>
      <c r="D807" s="59" t="n"/>
      <c r="E807" s="60" t="n"/>
      <c r="F807" s="59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1" t="n"/>
      <c r="X807" s="61" t="n"/>
      <c r="Y807" s="61" t="n"/>
      <c r="Z807" s="61" t="n"/>
    </row>
    <row r="808" ht="15" customHeight="1" s="150">
      <c r="A808" s="62" t="n"/>
      <c r="B808" s="62" t="n"/>
      <c r="C808" s="62" t="n"/>
      <c r="D808" s="59" t="n"/>
      <c r="E808" s="60" t="n"/>
      <c r="F808" s="59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1" t="n"/>
      <c r="X808" s="61" t="n"/>
      <c r="Y808" s="61" t="n"/>
      <c r="Z808" s="61" t="n"/>
    </row>
    <row r="809" ht="15" customHeight="1" s="150">
      <c r="A809" s="62" t="n"/>
      <c r="B809" s="63" t="n"/>
      <c r="C809" s="63" t="n"/>
      <c r="D809" s="59" t="n"/>
      <c r="E809" s="60" t="n"/>
      <c r="F809" s="59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1" t="n"/>
      <c r="X809" s="61" t="n"/>
      <c r="Y809" s="61" t="n"/>
      <c r="Z809" s="61" t="n"/>
    </row>
    <row r="810" ht="15" customHeight="1" s="150">
      <c r="A810" s="62" t="n"/>
      <c r="B810" s="58" t="n"/>
      <c r="C810" s="58" t="n"/>
      <c r="D810" s="59" t="n"/>
      <c r="E810" s="60" t="n"/>
      <c r="F810" s="59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1" t="n"/>
      <c r="X810" s="61" t="n"/>
      <c r="Y810" s="61" t="n"/>
      <c r="Z810" s="61" t="n"/>
    </row>
    <row r="811" ht="15" customHeight="1" s="150">
      <c r="A811" s="63" t="n"/>
      <c r="B811" s="63" t="n"/>
      <c r="C811" s="63" t="n"/>
      <c r="D811" s="59" t="n"/>
      <c r="E811" s="60" t="n"/>
      <c r="F811" s="59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1" t="n"/>
      <c r="X811" s="61" t="n"/>
      <c r="Y811" s="61" t="n"/>
      <c r="Z811" s="61" t="n"/>
    </row>
    <row r="812" ht="15" customHeight="1" s="150">
      <c r="A812" s="66" t="n"/>
      <c r="B812" s="58" t="n"/>
      <c r="C812" s="58" t="n"/>
      <c r="D812" s="59" t="n"/>
      <c r="E812" s="60" t="n"/>
      <c r="F812" s="59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1" t="n"/>
      <c r="X812" s="61" t="n"/>
      <c r="Y812" s="61" t="n"/>
      <c r="Z812" s="61" t="n"/>
    </row>
    <row r="813" ht="15" customHeight="1" s="150">
      <c r="A813" s="67" t="n"/>
      <c r="B813" s="62" t="n"/>
      <c r="C813" s="62" t="n"/>
      <c r="D813" s="59" t="n"/>
      <c r="E813" s="60" t="n"/>
      <c r="F813" s="59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1" t="n"/>
      <c r="X813" s="61" t="n"/>
      <c r="Y813" s="61" t="n"/>
      <c r="Z813" s="61" t="n"/>
    </row>
    <row r="814" ht="15" customHeight="1" s="150">
      <c r="A814" s="67" t="n"/>
      <c r="B814" s="62" t="n"/>
      <c r="C814" s="62" t="n"/>
      <c r="D814" s="59" t="n"/>
      <c r="E814" s="60" t="n"/>
      <c r="F814" s="59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1" t="n"/>
      <c r="X814" s="61" t="n"/>
      <c r="Y814" s="61" t="n"/>
      <c r="Z814" s="61" t="n"/>
    </row>
    <row r="815" ht="25.5" customHeight="1" s="150">
      <c r="A815" s="67" t="n"/>
      <c r="B815" s="62" t="n"/>
      <c r="C815" s="62" t="n"/>
      <c r="D815" s="59" t="n"/>
      <c r="E815" s="60" t="n"/>
      <c r="F815" s="59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1" t="n"/>
      <c r="X815" s="61" t="n"/>
      <c r="Y815" s="61" t="n"/>
      <c r="Z815" s="61" t="n"/>
    </row>
    <row r="816" ht="15" customHeight="1" s="150">
      <c r="A816" s="67" t="n"/>
      <c r="B816" s="62" t="n"/>
      <c r="C816" s="63" t="n"/>
      <c r="D816" s="59" t="n"/>
      <c r="E816" s="60" t="n"/>
      <c r="F816" s="59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1" t="n"/>
      <c r="X816" s="61" t="n"/>
      <c r="Y816" s="61" t="n"/>
      <c r="Z816" s="61" t="n"/>
    </row>
    <row r="817" ht="15" customHeight="1" s="150">
      <c r="A817" s="67" t="n"/>
      <c r="B817" s="63" t="n"/>
      <c r="C817" s="63" t="n"/>
      <c r="D817" s="59" t="n"/>
      <c r="E817" s="60" t="n"/>
      <c r="F817" s="59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1" t="n"/>
      <c r="X817" s="61" t="n"/>
      <c r="Y817" s="61" t="n"/>
      <c r="Z817" s="61" t="n"/>
    </row>
    <row r="818" ht="15" customHeight="1" s="150">
      <c r="A818" s="67" t="n"/>
      <c r="B818" s="60" t="n"/>
      <c r="C818" s="63" t="n"/>
      <c r="D818" s="59" t="n"/>
      <c r="E818" s="60" t="n"/>
      <c r="F818" s="59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1" t="n"/>
      <c r="X818" s="61" t="n"/>
      <c r="Y818" s="61" t="n"/>
      <c r="Z818" s="61" t="n"/>
    </row>
    <row r="819" ht="15" customHeight="1" s="150">
      <c r="A819" s="67" t="n"/>
      <c r="B819" s="58" t="n"/>
      <c r="C819" s="66" t="n"/>
      <c r="D819" s="59" t="n"/>
      <c r="E819" s="60" t="n"/>
      <c r="F819" s="59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1" t="n"/>
      <c r="X819" s="61" t="n"/>
      <c r="Y819" s="61" t="n"/>
      <c r="Z819" s="61" t="n"/>
    </row>
    <row r="820" ht="15" customHeight="1" s="150">
      <c r="A820" s="67" t="n"/>
      <c r="B820" s="63" t="n"/>
      <c r="C820" s="68" t="n"/>
      <c r="D820" s="59" t="n"/>
      <c r="E820" s="60" t="n"/>
      <c r="F820" s="59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1" t="n"/>
      <c r="X820" s="61" t="n"/>
      <c r="Y820" s="61" t="n"/>
      <c r="Z820" s="61" t="n"/>
    </row>
    <row r="821" ht="15" customHeight="1" s="150">
      <c r="A821" s="67" t="n"/>
      <c r="B821" s="58" t="n"/>
      <c r="C821" s="63" t="n"/>
      <c r="D821" s="59" t="n"/>
      <c r="E821" s="60" t="n"/>
      <c r="F821" s="59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1" t="n"/>
      <c r="X821" s="61" t="n"/>
      <c r="Y821" s="61" t="n"/>
      <c r="Z821" s="61" t="n"/>
    </row>
    <row r="822" ht="15" customHeight="1" s="150">
      <c r="A822" s="67" t="n"/>
      <c r="B822" s="62" t="n"/>
      <c r="C822" s="63" t="n"/>
      <c r="D822" s="59" t="n"/>
      <c r="E822" s="60" t="n"/>
      <c r="F822" s="59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1" t="n"/>
      <c r="X822" s="61" t="n"/>
      <c r="Y822" s="61" t="n"/>
      <c r="Z822" s="61" t="n"/>
    </row>
    <row r="823" ht="15" customHeight="1" s="150">
      <c r="A823" s="67" t="n"/>
      <c r="B823" s="63" t="n"/>
      <c r="C823" s="63" t="n"/>
      <c r="D823" s="59" t="n"/>
      <c r="E823" s="60" t="n"/>
      <c r="F823" s="59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1" t="n"/>
      <c r="X823" s="61" t="n"/>
      <c r="Y823" s="61" t="n"/>
      <c r="Z823" s="61" t="n"/>
    </row>
    <row r="824" ht="15" customHeight="1" s="150">
      <c r="A824" s="68" t="n"/>
      <c r="B824" s="60" t="n"/>
      <c r="C824" s="63" t="n"/>
      <c r="D824" s="59" t="n"/>
      <c r="E824" s="60" t="n"/>
      <c r="F824" s="59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1" t="n"/>
      <c r="X824" s="61" t="n"/>
      <c r="Y824" s="61" t="n"/>
      <c r="Z824" s="61" t="n"/>
    </row>
    <row r="825" ht="15" customHeight="1" s="150">
      <c r="A825" s="60" t="n"/>
      <c r="B825" s="60" t="n"/>
      <c r="C825" s="63" t="n"/>
      <c r="D825" s="59" t="n"/>
      <c r="E825" s="60" t="n"/>
      <c r="F825" s="59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1" t="n"/>
      <c r="X825" s="61" t="n"/>
      <c r="Y825" s="61" t="n"/>
      <c r="Z825" s="61" t="n"/>
    </row>
    <row r="826" ht="15" customHeight="1" s="150">
      <c r="A826" s="69" t="n"/>
      <c r="B826" s="69" t="n"/>
      <c r="C826" s="69" t="n"/>
      <c r="D826" s="70" t="n"/>
      <c r="E826" s="69" t="n"/>
      <c r="F826" s="70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1" t="n"/>
      <c r="X826" s="61" t="n"/>
      <c r="Y826" s="61" t="n"/>
      <c r="Z826" s="61" t="n"/>
    </row>
    <row r="827" ht="15" customHeight="1" s="150">
      <c r="A827" s="69" t="n"/>
      <c r="B827" s="69" t="n"/>
      <c r="C827" s="69" t="n"/>
      <c r="D827" s="70" t="n"/>
      <c r="E827" s="69" t="n"/>
      <c r="F827" s="70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1" t="n"/>
      <c r="X827" s="61" t="n"/>
      <c r="Y827" s="61" t="n"/>
      <c r="Z827" s="61" t="n"/>
    </row>
    <row r="828" ht="15" customHeight="1" s="150">
      <c r="A828" s="69" t="n"/>
      <c r="B828" s="69" t="n"/>
      <c r="C828" s="69" t="n"/>
      <c r="D828" s="70" t="n"/>
      <c r="E828" s="69" t="n"/>
      <c r="F828" s="70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1" t="n"/>
      <c r="X828" s="61" t="n"/>
      <c r="Y828" s="61" t="n"/>
      <c r="Z828" s="61" t="n"/>
    </row>
    <row r="829" ht="15" customHeight="1" s="150">
      <c r="A829" s="69" t="n"/>
      <c r="B829" s="69" t="n"/>
      <c r="C829" s="69" t="n"/>
      <c r="D829" s="70" t="n"/>
      <c r="E829" s="69" t="n"/>
      <c r="F829" s="70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1" t="n"/>
      <c r="X829" s="61" t="n"/>
      <c r="Y829" s="61" t="n"/>
      <c r="Z829" s="61" t="n"/>
    </row>
    <row r="830" ht="15" customHeight="1" s="150">
      <c r="A830" s="69" t="n"/>
      <c r="B830" s="69" t="n"/>
      <c r="C830" s="69" t="n"/>
      <c r="D830" s="70" t="n"/>
      <c r="E830" s="69" t="n"/>
      <c r="F830" s="70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1" t="n"/>
      <c r="X830" s="61" t="n"/>
      <c r="Y830" s="61" t="n"/>
      <c r="Z830" s="61" t="n"/>
    </row>
    <row r="831" ht="25.5" customHeight="1" s="150">
      <c r="A831" s="69" t="n"/>
      <c r="B831" s="69" t="n"/>
      <c r="C831" s="69" t="n"/>
      <c r="D831" s="70" t="n"/>
      <c r="E831" s="69" t="n"/>
      <c r="F831" s="70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1" t="n"/>
      <c r="X831" s="61" t="n"/>
      <c r="Y831" s="61" t="n"/>
      <c r="Z831" s="61" t="n"/>
    </row>
    <row r="832" ht="15" customHeight="1" s="150">
      <c r="A832" s="69" t="n"/>
      <c r="B832" s="69" t="n"/>
      <c r="C832" s="69" t="n"/>
      <c r="D832" s="70" t="n"/>
      <c r="E832" s="69" t="n"/>
      <c r="F832" s="70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1" t="n"/>
      <c r="X832" s="61" t="n"/>
      <c r="Y832" s="61" t="n"/>
      <c r="Z832" s="61" t="n"/>
    </row>
    <row r="833" ht="15" customHeight="1" s="150">
      <c r="A833" s="69" t="n"/>
      <c r="B833" s="69" t="n"/>
      <c r="C833" s="69" t="n"/>
      <c r="D833" s="70" t="n"/>
      <c r="E833" s="69" t="n"/>
      <c r="F833" s="70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1" t="n"/>
      <c r="X833" s="61" t="n"/>
      <c r="Y833" s="61" t="n"/>
      <c r="Z833" s="61" t="n"/>
    </row>
    <row r="834" ht="15" customHeight="1" s="150">
      <c r="A834" s="69" t="n"/>
      <c r="B834" s="69" t="n"/>
      <c r="C834" s="69" t="n"/>
      <c r="D834" s="70" t="n"/>
      <c r="E834" s="69" t="n"/>
      <c r="F834" s="70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1" t="n"/>
      <c r="X834" s="61" t="n"/>
      <c r="Y834" s="61" t="n"/>
      <c r="Z834" s="61" t="n"/>
    </row>
    <row r="835" ht="15" customHeight="1" s="150">
      <c r="A835" s="69" t="n"/>
      <c r="B835" s="69" t="n"/>
      <c r="C835" s="69" t="n"/>
      <c r="D835" s="70" t="n"/>
      <c r="E835" s="69" t="n"/>
      <c r="F835" s="70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1" t="n"/>
      <c r="X835" s="61" t="n"/>
      <c r="Y835" s="61" t="n"/>
      <c r="Z835" s="61" t="n"/>
    </row>
    <row r="836" ht="15" customHeight="1" s="150">
      <c r="A836" s="69" t="n"/>
      <c r="B836" s="69" t="n"/>
      <c r="C836" s="69" t="n"/>
      <c r="D836" s="70" t="n"/>
      <c r="E836" s="69" t="n"/>
      <c r="F836" s="70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1" t="n"/>
      <c r="X836" s="61" t="n"/>
      <c r="Y836" s="61" t="n"/>
      <c r="Z836" s="61" t="n"/>
    </row>
    <row r="837" ht="15" customHeight="1" s="150">
      <c r="A837" s="69" t="n"/>
      <c r="B837" s="69" t="n"/>
      <c r="C837" s="69" t="n"/>
      <c r="D837" s="70" t="n"/>
      <c r="E837" s="69" t="n"/>
      <c r="F837" s="70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1" t="n"/>
      <c r="X837" s="61" t="n"/>
      <c r="Y837" s="61" t="n"/>
      <c r="Z837" s="61" t="n"/>
    </row>
    <row r="838" ht="15" customHeight="1" s="150">
      <c r="A838" s="69" t="n"/>
      <c r="B838" s="69" t="n"/>
      <c r="C838" s="69" t="n"/>
      <c r="D838" s="70" t="n"/>
      <c r="E838" s="69" t="n"/>
      <c r="F838" s="70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1" t="n"/>
      <c r="X838" s="61" t="n"/>
      <c r="Y838" s="61" t="n"/>
      <c r="Z838" s="61" t="n"/>
    </row>
    <row r="839" ht="15" customHeight="1" s="150">
      <c r="A839" s="69" t="n"/>
      <c r="B839" s="69" t="n"/>
      <c r="C839" s="69" t="n"/>
      <c r="D839" s="70" t="n"/>
      <c r="E839" s="69" t="n"/>
      <c r="F839" s="70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1" t="n"/>
      <c r="X839" s="61" t="n"/>
      <c r="Y839" s="61" t="n"/>
      <c r="Z839" s="61" t="n"/>
    </row>
    <row r="840" ht="15" customHeight="1" s="150">
      <c r="A840" s="69" t="n"/>
      <c r="B840" s="69" t="n"/>
      <c r="C840" s="69" t="n"/>
      <c r="D840" s="70" t="n"/>
      <c r="E840" s="69" t="n"/>
      <c r="F840" s="70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1" t="n"/>
      <c r="X840" s="61" t="n"/>
      <c r="Y840" s="61" t="n"/>
      <c r="Z840" s="61" t="n"/>
    </row>
    <row r="841" ht="15" customHeight="1" s="150">
      <c r="A841" s="69" t="n"/>
      <c r="B841" s="69" t="n"/>
      <c r="C841" s="69" t="n"/>
      <c r="D841" s="70" t="n"/>
      <c r="E841" s="69" t="n"/>
      <c r="F841" s="70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1" t="n"/>
      <c r="X841" s="61" t="n"/>
      <c r="Y841" s="61" t="n"/>
      <c r="Z841" s="61" t="n"/>
    </row>
    <row r="842" ht="25.5" customHeight="1" s="150">
      <c r="A842" s="69" t="n"/>
      <c r="B842" s="69" t="n"/>
      <c r="C842" s="69" t="n"/>
      <c r="D842" s="70" t="n"/>
      <c r="E842" s="69" t="n"/>
      <c r="F842" s="70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1" t="n"/>
      <c r="X842" s="61" t="n"/>
      <c r="Y842" s="61" t="n"/>
      <c r="Z842" s="61" t="n"/>
    </row>
    <row r="843" ht="15" customHeight="1" s="150">
      <c r="A843" s="69" t="n"/>
      <c r="B843" s="69" t="n"/>
      <c r="C843" s="69" t="n"/>
      <c r="D843" s="70" t="n"/>
      <c r="E843" s="69" t="n"/>
      <c r="F843" s="70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1" t="n"/>
      <c r="X843" s="61" t="n"/>
      <c r="Y843" s="61" t="n"/>
      <c r="Z843" s="61" t="n"/>
    </row>
    <row r="844" ht="15" customHeight="1" s="150">
      <c r="A844" s="69" t="n"/>
      <c r="B844" s="69" t="n"/>
      <c r="C844" s="69" t="n"/>
      <c r="D844" s="70" t="n"/>
      <c r="E844" s="69" t="n"/>
      <c r="F844" s="70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1" t="n"/>
      <c r="X844" s="61" t="n"/>
      <c r="Y844" s="61" t="n"/>
      <c r="Z844" s="61" t="n"/>
    </row>
    <row r="845" ht="25.5" customHeight="1" s="150">
      <c r="A845" s="69" t="n"/>
      <c r="B845" s="69" t="n"/>
      <c r="C845" s="69" t="n"/>
      <c r="D845" s="70" t="n"/>
      <c r="E845" s="69" t="n"/>
      <c r="F845" s="70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1" t="n"/>
      <c r="X845" s="61" t="n"/>
      <c r="Y845" s="61" t="n"/>
      <c r="Z845" s="61" t="n"/>
    </row>
    <row r="846" ht="15" customHeight="1" s="150">
      <c r="A846" s="69" t="n"/>
      <c r="B846" s="69" t="n"/>
      <c r="C846" s="69" t="n"/>
      <c r="D846" s="70" t="n"/>
      <c r="E846" s="69" t="n"/>
      <c r="F846" s="70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1" t="n"/>
      <c r="X846" s="61" t="n"/>
      <c r="Y846" s="61" t="n"/>
      <c r="Z846" s="61" t="n"/>
    </row>
    <row r="847" ht="15" customHeight="1" s="150">
      <c r="A847" s="69" t="n"/>
      <c r="B847" s="69" t="n"/>
      <c r="C847" s="69" t="n"/>
      <c r="D847" s="70" t="n"/>
      <c r="E847" s="69" t="n"/>
      <c r="F847" s="70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1" t="n"/>
      <c r="X847" s="61" t="n"/>
      <c r="Y847" s="61" t="n"/>
      <c r="Z847" s="61" t="n"/>
    </row>
    <row r="848" ht="15" customHeight="1" s="150">
      <c r="A848" s="69" t="n"/>
      <c r="B848" s="69" t="n"/>
      <c r="C848" s="69" t="n"/>
      <c r="D848" s="70" t="n"/>
      <c r="E848" s="69" t="n"/>
      <c r="F848" s="70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1" t="n"/>
      <c r="X848" s="61" t="n"/>
      <c r="Y848" s="61" t="n"/>
      <c r="Z848" s="61" t="n"/>
    </row>
    <row r="849" ht="15" customHeight="1" s="150">
      <c r="A849" s="69" t="n"/>
      <c r="B849" s="69" t="n"/>
      <c r="C849" s="69" t="n"/>
      <c r="D849" s="70" t="n"/>
      <c r="E849" s="69" t="n"/>
      <c r="F849" s="70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1" t="n"/>
      <c r="X849" s="61" t="n"/>
      <c r="Y849" s="61" t="n"/>
      <c r="Z849" s="61" t="n"/>
    </row>
    <row r="850" ht="15" customHeight="1" s="150">
      <c r="A850" s="69" t="n"/>
      <c r="B850" s="69" t="n"/>
      <c r="C850" s="69" t="n"/>
      <c r="D850" s="70" t="n"/>
      <c r="E850" s="69" t="n"/>
      <c r="F850" s="70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1" t="n"/>
      <c r="X850" s="61" t="n"/>
      <c r="Y850" s="61" t="n"/>
      <c r="Z850" s="61" t="n"/>
    </row>
    <row r="851" ht="15" customHeight="1" s="150">
      <c r="A851" s="69" t="n"/>
      <c r="B851" s="69" t="n"/>
      <c r="C851" s="69" t="n"/>
      <c r="D851" s="70" t="n"/>
      <c r="E851" s="69" t="n"/>
      <c r="F851" s="70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1" t="n"/>
      <c r="X851" s="61" t="n"/>
      <c r="Y851" s="61" t="n"/>
      <c r="Z851" s="61" t="n"/>
    </row>
    <row r="852" ht="15" customHeight="1" s="150">
      <c r="A852" s="69" t="n"/>
      <c r="B852" s="69" t="n"/>
      <c r="C852" s="69" t="n"/>
      <c r="D852" s="70" t="n"/>
      <c r="E852" s="69" t="n"/>
      <c r="F852" s="70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1" t="n"/>
      <c r="X852" s="61" t="n"/>
      <c r="Y852" s="61" t="n"/>
      <c r="Z852" s="61" t="n"/>
    </row>
    <row r="853" ht="15" customHeight="1" s="150">
      <c r="A853" s="69" t="n"/>
      <c r="B853" s="69" t="n"/>
      <c r="C853" s="69" t="n"/>
      <c r="D853" s="70" t="n"/>
      <c r="E853" s="69" t="n"/>
      <c r="F853" s="70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1" t="n"/>
      <c r="X853" s="61" t="n"/>
      <c r="Y853" s="61" t="n"/>
      <c r="Z853" s="61" t="n"/>
    </row>
    <row r="854" ht="15" customHeight="1" s="150">
      <c r="A854" s="69" t="n"/>
      <c r="B854" s="69" t="n"/>
      <c r="C854" s="69" t="n"/>
      <c r="D854" s="70" t="n"/>
      <c r="E854" s="69" t="n"/>
      <c r="F854" s="70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1" t="n"/>
      <c r="X854" s="61" t="n"/>
      <c r="Y854" s="61" t="n"/>
      <c r="Z854" s="61" t="n"/>
    </row>
    <row r="855" ht="15" customHeight="1" s="150">
      <c r="A855" s="69" t="n"/>
      <c r="B855" s="69" t="n"/>
      <c r="C855" s="69" t="n"/>
      <c r="D855" s="70" t="n"/>
      <c r="E855" s="69" t="n"/>
      <c r="F855" s="70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1" t="n"/>
      <c r="X855" s="61" t="n"/>
      <c r="Y855" s="61" t="n"/>
      <c r="Z855" s="61" t="n"/>
    </row>
    <row r="856" ht="15" customHeight="1" s="150">
      <c r="A856" s="69" t="n"/>
      <c r="B856" s="69" t="n"/>
      <c r="C856" s="69" t="n"/>
      <c r="D856" s="70" t="n"/>
      <c r="E856" s="69" t="n"/>
      <c r="F856" s="70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1" t="n"/>
      <c r="X856" s="61" t="n"/>
      <c r="Y856" s="61" t="n"/>
      <c r="Z856" s="61" t="n"/>
    </row>
    <row r="857" ht="15" customHeight="1" s="150">
      <c r="A857" s="69" t="n"/>
      <c r="B857" s="69" t="n"/>
      <c r="C857" s="69" t="n"/>
      <c r="D857" s="70" t="n"/>
      <c r="E857" s="69" t="n"/>
      <c r="F857" s="70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1" t="n"/>
      <c r="X857" s="61" t="n"/>
      <c r="Y857" s="61" t="n"/>
      <c r="Z857" s="61" t="n"/>
    </row>
    <row r="858" ht="25.5" customHeight="1" s="150">
      <c r="A858" s="69" t="n"/>
      <c r="B858" s="69" t="n"/>
      <c r="C858" s="69" t="n"/>
      <c r="D858" s="70" t="n"/>
      <c r="E858" s="69" t="n"/>
      <c r="F858" s="70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1" t="n"/>
      <c r="X858" s="61" t="n"/>
      <c r="Y858" s="61" t="n"/>
      <c r="Z858" s="61" t="n"/>
    </row>
    <row r="859" ht="15" customHeight="1" s="150">
      <c r="A859" s="69" t="n"/>
      <c r="B859" s="69" t="n"/>
      <c r="C859" s="69" t="n"/>
      <c r="D859" s="70" t="n"/>
      <c r="E859" s="69" t="n"/>
      <c r="F859" s="70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1" t="n"/>
      <c r="X859" s="61" t="n"/>
      <c r="Y859" s="61" t="n"/>
      <c r="Z859" s="61" t="n"/>
    </row>
    <row r="860" ht="15" customHeight="1" s="150">
      <c r="A860" s="69" t="n"/>
      <c r="B860" s="69" t="n"/>
      <c r="C860" s="69" t="n"/>
      <c r="D860" s="70" t="n"/>
      <c r="E860" s="69" t="n"/>
      <c r="F860" s="70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1" t="n"/>
      <c r="X860" s="61" t="n"/>
      <c r="Y860" s="61" t="n"/>
      <c r="Z860" s="61" t="n"/>
    </row>
    <row r="861" ht="15" customHeight="1" s="150">
      <c r="A861" s="69" t="n"/>
      <c r="B861" s="69" t="n"/>
      <c r="C861" s="69" t="n"/>
      <c r="D861" s="70" t="n"/>
      <c r="E861" s="69" t="n"/>
      <c r="F861" s="70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1" t="n"/>
      <c r="X861" s="61" t="n"/>
      <c r="Y861" s="61" t="n"/>
      <c r="Z861" s="61" t="n"/>
    </row>
    <row r="862" ht="15" customHeight="1" s="150">
      <c r="A862" s="69" t="n"/>
      <c r="B862" s="69" t="n"/>
      <c r="C862" s="69" t="n"/>
      <c r="D862" s="70" t="n"/>
      <c r="E862" s="69" t="n"/>
      <c r="F862" s="70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1" t="n"/>
      <c r="X862" s="61" t="n"/>
      <c r="Y862" s="61" t="n"/>
      <c r="Z862" s="61" t="n"/>
    </row>
    <row r="863" ht="15" customHeight="1" s="150">
      <c r="A863" s="69" t="n"/>
      <c r="B863" s="69" t="n"/>
      <c r="C863" s="69" t="n"/>
      <c r="D863" s="70" t="n"/>
      <c r="E863" s="69" t="n"/>
      <c r="F863" s="70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1" t="n"/>
      <c r="X863" s="61" t="n"/>
      <c r="Y863" s="61" t="n"/>
      <c r="Z863" s="61" t="n"/>
    </row>
    <row r="864" ht="15" customHeight="1" s="150">
      <c r="A864" s="69" t="n"/>
      <c r="B864" s="69" t="n"/>
      <c r="C864" s="69" t="n"/>
      <c r="D864" s="70" t="n"/>
      <c r="E864" s="69" t="n"/>
      <c r="F864" s="70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1" t="n"/>
      <c r="X864" s="61" t="n"/>
      <c r="Y864" s="61" t="n"/>
      <c r="Z864" s="61" t="n"/>
    </row>
    <row r="865" ht="15" customHeight="1" s="150">
      <c r="A865" s="69" t="n"/>
      <c r="B865" s="69" t="n"/>
      <c r="C865" s="69" t="n"/>
      <c r="D865" s="70" t="n"/>
      <c r="E865" s="69" t="n"/>
      <c r="F865" s="70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1" t="n"/>
      <c r="X865" s="61" t="n"/>
      <c r="Y865" s="61" t="n"/>
      <c r="Z865" s="61" t="n"/>
    </row>
    <row r="866" ht="15" customHeight="1" s="150">
      <c r="A866" s="69" t="n"/>
      <c r="B866" s="69" t="n"/>
      <c r="C866" s="69" t="n"/>
      <c r="D866" s="70" t="n"/>
      <c r="E866" s="69" t="n"/>
      <c r="F866" s="70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1" t="n"/>
      <c r="X866" s="61" t="n"/>
      <c r="Y866" s="61" t="n"/>
      <c r="Z866" s="61" t="n"/>
    </row>
    <row r="867" ht="15" customHeight="1" s="150">
      <c r="A867" s="69" t="n"/>
      <c r="B867" s="69" t="n"/>
      <c r="C867" s="69" t="n"/>
      <c r="D867" s="70" t="n"/>
      <c r="E867" s="69" t="n"/>
      <c r="F867" s="70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1" t="n"/>
      <c r="X867" s="61" t="n"/>
      <c r="Y867" s="61" t="n"/>
      <c r="Z867" s="61" t="n"/>
    </row>
    <row r="868" ht="15" customHeight="1" s="150">
      <c r="A868" s="69" t="n"/>
      <c r="B868" s="69" t="n"/>
      <c r="C868" s="69" t="n"/>
      <c r="D868" s="70" t="n"/>
      <c r="E868" s="69" t="n"/>
      <c r="F868" s="70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1" t="n"/>
      <c r="X868" s="61" t="n"/>
      <c r="Y868" s="61" t="n"/>
      <c r="Z868" s="61" t="n"/>
    </row>
    <row r="869" ht="15" customHeight="1" s="150">
      <c r="A869" s="69" t="n"/>
      <c r="B869" s="69" t="n"/>
      <c r="C869" s="69" t="n"/>
      <c r="D869" s="70" t="n"/>
      <c r="E869" s="69" t="n"/>
      <c r="F869" s="70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1" t="n"/>
      <c r="X869" s="61" t="n"/>
      <c r="Y869" s="61" t="n"/>
      <c r="Z869" s="61" t="n"/>
    </row>
    <row r="870" ht="15" customHeight="1" s="150">
      <c r="A870" s="69" t="n"/>
      <c r="B870" s="69" t="n"/>
      <c r="C870" s="69" t="n"/>
      <c r="D870" s="70" t="n"/>
      <c r="E870" s="69" t="n"/>
      <c r="F870" s="70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1" t="n"/>
      <c r="X870" s="61" t="n"/>
      <c r="Y870" s="61" t="n"/>
      <c r="Z870" s="61" t="n"/>
    </row>
    <row r="871" ht="12.75" customHeight="1" s="150">
      <c r="A871" s="69" t="n"/>
      <c r="B871" s="69" t="n"/>
      <c r="C871" s="69" t="n"/>
      <c r="D871" s="70" t="n"/>
      <c r="E871" s="69" t="n"/>
      <c r="F871" s="70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1" t="n"/>
      <c r="X871" s="61" t="n"/>
      <c r="Y871" s="61" t="n"/>
      <c r="Z871" s="61" t="n"/>
    </row>
    <row r="872" ht="12.75" customHeight="1" s="150">
      <c r="A872" s="69" t="n"/>
      <c r="B872" s="69" t="n"/>
      <c r="C872" s="69" t="n"/>
      <c r="D872" s="70" t="n"/>
      <c r="E872" s="69" t="n"/>
      <c r="F872" s="70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1" t="n"/>
      <c r="X872" s="61" t="n"/>
      <c r="Y872" s="61" t="n"/>
      <c r="Z872" s="61" t="n"/>
    </row>
    <row r="873" ht="12.75" customHeight="1" s="150">
      <c r="A873" s="69" t="n"/>
      <c r="B873" s="69" t="n"/>
      <c r="C873" s="69" t="n"/>
      <c r="D873" s="70" t="n"/>
      <c r="E873" s="69" t="n"/>
      <c r="F873" s="70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1" t="n"/>
      <c r="X873" s="61" t="n"/>
      <c r="Y873" s="61" t="n"/>
      <c r="Z873" s="61" t="n"/>
    </row>
    <row r="874" ht="12.75" customHeight="1" s="150">
      <c r="A874" s="69" t="n"/>
      <c r="B874" s="69" t="n"/>
      <c r="C874" s="69" t="n"/>
      <c r="D874" s="70" t="n"/>
      <c r="E874" s="69" t="n"/>
      <c r="F874" s="70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1" t="n"/>
      <c r="X874" s="61" t="n"/>
      <c r="Y874" s="61" t="n"/>
      <c r="Z874" s="61" t="n"/>
    </row>
    <row r="875" ht="12.75" customHeight="1" s="150">
      <c r="A875" s="69" t="n"/>
      <c r="B875" s="69" t="n"/>
      <c r="C875" s="69" t="n"/>
      <c r="D875" s="70" t="n"/>
      <c r="E875" s="69" t="n"/>
      <c r="F875" s="70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1" t="n"/>
      <c r="X875" s="61" t="n"/>
      <c r="Y875" s="61" t="n"/>
      <c r="Z875" s="61" t="n"/>
    </row>
    <row r="876" ht="12.75" customHeight="1" s="150">
      <c r="A876" s="69" t="n"/>
      <c r="B876" s="69" t="n"/>
      <c r="C876" s="69" t="n"/>
      <c r="D876" s="70" t="n"/>
      <c r="E876" s="69" t="n"/>
      <c r="F876" s="70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1" t="n"/>
      <c r="X876" s="61" t="n"/>
      <c r="Y876" s="61" t="n"/>
      <c r="Z876" s="61" t="n"/>
    </row>
    <row r="877" ht="12.75" customHeight="1" s="150">
      <c r="A877" s="69" t="n"/>
      <c r="B877" s="69" t="n"/>
      <c r="C877" s="69" t="n"/>
      <c r="D877" s="70" t="n"/>
      <c r="E877" s="69" t="n"/>
      <c r="F877" s="70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1" t="n"/>
      <c r="X877" s="61" t="n"/>
      <c r="Y877" s="61" t="n"/>
      <c r="Z877" s="61" t="n"/>
    </row>
    <row r="878" ht="12.75" customHeight="1" s="150">
      <c r="A878" s="69" t="n"/>
      <c r="B878" s="69" t="n"/>
      <c r="C878" s="69" t="n"/>
      <c r="D878" s="70" t="n"/>
      <c r="E878" s="69" t="n"/>
      <c r="F878" s="70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1" t="n"/>
      <c r="X878" s="61" t="n"/>
      <c r="Y878" s="61" t="n"/>
      <c r="Z878" s="61" t="n"/>
    </row>
    <row r="879" ht="12.75" customHeight="1" s="150">
      <c r="A879" s="69" t="n"/>
      <c r="B879" s="69" t="n"/>
      <c r="C879" s="69" t="n"/>
      <c r="D879" s="70" t="n"/>
      <c r="E879" s="69" t="n"/>
      <c r="F879" s="70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1" t="n"/>
      <c r="X879" s="61" t="n"/>
      <c r="Y879" s="61" t="n"/>
      <c r="Z879" s="61" t="n"/>
    </row>
    <row r="880" ht="12.75" customHeight="1" s="150">
      <c r="A880" s="69" t="n"/>
      <c r="B880" s="69" t="n"/>
      <c r="C880" s="69" t="n"/>
      <c r="D880" s="70" t="n"/>
      <c r="E880" s="69" t="n"/>
      <c r="F880" s="70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1" t="n"/>
      <c r="X880" s="61" t="n"/>
      <c r="Y880" s="61" t="n"/>
      <c r="Z880" s="61" t="n"/>
    </row>
    <row r="881" ht="12.75" customHeight="1" s="150">
      <c r="A881" s="69" t="n"/>
      <c r="B881" s="69" t="n"/>
      <c r="C881" s="69" t="n"/>
      <c r="D881" s="70" t="n"/>
      <c r="E881" s="69" t="n"/>
      <c r="F881" s="70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1" t="n"/>
      <c r="X881" s="61" t="n"/>
      <c r="Y881" s="61" t="n"/>
      <c r="Z881" s="61" t="n"/>
    </row>
    <row r="882" ht="12.75" customHeight="1" s="150">
      <c r="A882" s="69" t="n"/>
      <c r="B882" s="69" t="n"/>
      <c r="C882" s="69" t="n"/>
      <c r="D882" s="70" t="n"/>
      <c r="E882" s="69" t="n"/>
      <c r="F882" s="70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1" t="n"/>
      <c r="X882" s="61" t="n"/>
      <c r="Y882" s="61" t="n"/>
      <c r="Z882" s="61" t="n"/>
    </row>
    <row r="883" ht="12.75" customHeight="1" s="150">
      <c r="A883" s="69" t="n"/>
      <c r="B883" s="69" t="n"/>
      <c r="C883" s="69" t="n"/>
      <c r="D883" s="70" t="n"/>
      <c r="E883" s="69" t="n"/>
      <c r="F883" s="70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1" t="n"/>
      <c r="X883" s="61" t="n"/>
      <c r="Y883" s="61" t="n"/>
      <c r="Z883" s="61" t="n"/>
    </row>
    <row r="884" ht="12.75" customHeight="1" s="150">
      <c r="A884" s="69" t="n"/>
      <c r="B884" s="69" t="n"/>
      <c r="C884" s="69" t="n"/>
      <c r="D884" s="70" t="n"/>
      <c r="E884" s="69" t="n"/>
      <c r="F884" s="70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1" t="n"/>
      <c r="X884" s="61" t="n"/>
      <c r="Y884" s="61" t="n"/>
      <c r="Z884" s="61" t="n"/>
    </row>
    <row r="885" ht="12.75" customHeight="1" s="150">
      <c r="A885" s="69" t="n"/>
      <c r="B885" s="69" t="n"/>
      <c r="C885" s="69" t="n"/>
      <c r="D885" s="70" t="n"/>
      <c r="E885" s="69" t="n"/>
      <c r="F885" s="70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1" t="n"/>
      <c r="X885" s="61" t="n"/>
      <c r="Y885" s="61" t="n"/>
      <c r="Z885" s="61" t="n"/>
    </row>
    <row r="886" ht="12.75" customHeight="1" s="150">
      <c r="A886" s="69" t="n"/>
      <c r="B886" s="69" t="n"/>
      <c r="C886" s="69" t="n"/>
      <c r="D886" s="70" t="n"/>
      <c r="E886" s="69" t="n"/>
      <c r="F886" s="70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1" t="n"/>
      <c r="X886" s="61" t="n"/>
      <c r="Y886" s="61" t="n"/>
      <c r="Z886" s="61" t="n"/>
    </row>
    <row r="887" ht="12.75" customHeight="1" s="150">
      <c r="A887" s="69" t="n"/>
      <c r="B887" s="69" t="n"/>
      <c r="C887" s="69" t="n"/>
      <c r="D887" s="70" t="n"/>
      <c r="E887" s="69" t="n"/>
      <c r="F887" s="70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1" t="n"/>
      <c r="X887" s="61" t="n"/>
      <c r="Y887" s="61" t="n"/>
      <c r="Z887" s="61" t="n"/>
    </row>
    <row r="888" ht="12.75" customHeight="1" s="150">
      <c r="A888" s="69" t="n"/>
      <c r="B888" s="69" t="n"/>
      <c r="C888" s="69" t="n"/>
      <c r="D888" s="70" t="n"/>
      <c r="E888" s="69" t="n"/>
      <c r="F888" s="70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1" t="n"/>
      <c r="X888" s="61" t="n"/>
      <c r="Y888" s="61" t="n"/>
      <c r="Z888" s="61" t="n"/>
    </row>
    <row r="889" ht="12.75" customHeight="1" s="150">
      <c r="A889" s="69" t="n"/>
      <c r="B889" s="69" t="n"/>
      <c r="C889" s="69" t="n"/>
      <c r="D889" s="70" t="n"/>
      <c r="E889" s="69" t="n"/>
      <c r="F889" s="70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1" t="n"/>
      <c r="X889" s="61" t="n"/>
      <c r="Y889" s="61" t="n"/>
      <c r="Z889" s="61" t="n"/>
    </row>
    <row r="890" ht="12.75" customHeight="1" s="150">
      <c r="A890" s="69" t="n"/>
      <c r="B890" s="69" t="n"/>
      <c r="C890" s="69" t="n"/>
      <c r="D890" s="70" t="n"/>
      <c r="E890" s="69" t="n"/>
      <c r="F890" s="70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1" t="n"/>
      <c r="X890" s="61" t="n"/>
      <c r="Y890" s="61" t="n"/>
      <c r="Z890" s="61" t="n"/>
    </row>
    <row r="891" ht="12.75" customHeight="1" s="150">
      <c r="A891" s="69" t="n"/>
      <c r="B891" s="69" t="n"/>
      <c r="C891" s="69" t="n"/>
      <c r="D891" s="70" t="n"/>
      <c r="E891" s="69" t="n"/>
      <c r="F891" s="70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1" t="n"/>
      <c r="X891" s="61" t="n"/>
      <c r="Y891" s="61" t="n"/>
      <c r="Z891" s="61" t="n"/>
    </row>
    <row r="892" ht="12.75" customHeight="1" s="150">
      <c r="A892" s="69" t="n"/>
      <c r="B892" s="69" t="n"/>
      <c r="C892" s="69" t="n"/>
      <c r="D892" s="70" t="n"/>
      <c r="E892" s="69" t="n"/>
      <c r="F892" s="70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1" t="n"/>
      <c r="X892" s="61" t="n"/>
      <c r="Y892" s="61" t="n"/>
      <c r="Z892" s="61" t="n"/>
    </row>
    <row r="893" ht="12.75" customHeight="1" s="150">
      <c r="A893" s="69" t="n"/>
      <c r="B893" s="69" t="n"/>
      <c r="C893" s="69" t="n"/>
      <c r="D893" s="70" t="n"/>
      <c r="E893" s="69" t="n"/>
      <c r="F893" s="70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1" t="n"/>
      <c r="X893" s="61" t="n"/>
      <c r="Y893" s="61" t="n"/>
      <c r="Z893" s="61" t="n"/>
    </row>
    <row r="894" ht="12.75" customHeight="1" s="150">
      <c r="A894" s="69" t="n"/>
      <c r="B894" s="69" t="n"/>
      <c r="C894" s="69" t="n"/>
      <c r="D894" s="70" t="n"/>
      <c r="E894" s="69" t="n"/>
      <c r="F894" s="70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1" t="n"/>
      <c r="X894" s="61" t="n"/>
      <c r="Y894" s="61" t="n"/>
      <c r="Z894" s="61" t="n"/>
    </row>
    <row r="895" ht="12.75" customHeight="1" s="150">
      <c r="A895" s="69" t="n"/>
      <c r="B895" s="69" t="n"/>
      <c r="C895" s="69" t="n"/>
      <c r="D895" s="70" t="n"/>
      <c r="E895" s="69" t="n"/>
      <c r="F895" s="70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1" t="n"/>
      <c r="X895" s="61" t="n"/>
      <c r="Y895" s="61" t="n"/>
      <c r="Z895" s="61" t="n"/>
    </row>
    <row r="896" ht="12.75" customHeight="1" s="150">
      <c r="A896" s="69" t="n"/>
      <c r="B896" s="69" t="n"/>
      <c r="C896" s="69" t="n"/>
      <c r="D896" s="70" t="n"/>
      <c r="E896" s="69" t="n"/>
      <c r="F896" s="70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1" t="n"/>
      <c r="X896" s="61" t="n"/>
      <c r="Y896" s="61" t="n"/>
      <c r="Z896" s="61" t="n"/>
    </row>
    <row r="897" ht="12.75" customHeight="1" s="150">
      <c r="A897" s="69" t="n"/>
      <c r="B897" s="69" t="n"/>
      <c r="C897" s="69" t="n"/>
      <c r="D897" s="70" t="n"/>
      <c r="E897" s="69" t="n"/>
      <c r="F897" s="70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1" t="n"/>
      <c r="X897" s="61" t="n"/>
      <c r="Y897" s="61" t="n"/>
      <c r="Z897" s="61" t="n"/>
    </row>
    <row r="898" ht="12.75" customHeight="1" s="150">
      <c r="A898" s="69" t="n"/>
      <c r="B898" s="69" t="n"/>
      <c r="C898" s="69" t="n"/>
      <c r="D898" s="70" t="n"/>
      <c r="E898" s="69" t="n"/>
      <c r="F898" s="70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1" t="n"/>
      <c r="X898" s="61" t="n"/>
      <c r="Y898" s="61" t="n"/>
      <c r="Z898" s="61" t="n"/>
    </row>
    <row r="899" ht="12.75" customHeight="1" s="150">
      <c r="A899" s="69" t="n"/>
      <c r="B899" s="69" t="n"/>
      <c r="C899" s="69" t="n"/>
      <c r="D899" s="70" t="n"/>
      <c r="E899" s="69" t="n"/>
      <c r="F899" s="70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1" t="n"/>
      <c r="X899" s="61" t="n"/>
      <c r="Y899" s="61" t="n"/>
      <c r="Z899" s="61" t="n"/>
    </row>
    <row r="900" ht="12.75" customHeight="1" s="150">
      <c r="A900" s="69" t="n"/>
      <c r="B900" s="69" t="n"/>
      <c r="C900" s="69" t="n"/>
      <c r="D900" s="70" t="n"/>
      <c r="E900" s="69" t="n"/>
      <c r="F900" s="70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1" t="n"/>
      <c r="X900" s="61" t="n"/>
      <c r="Y900" s="61" t="n"/>
      <c r="Z900" s="61" t="n"/>
    </row>
    <row r="901" ht="12.75" customHeight="1" s="150">
      <c r="A901" s="69" t="n"/>
      <c r="B901" s="69" t="n"/>
      <c r="C901" s="69" t="n"/>
      <c r="D901" s="70" t="n"/>
      <c r="E901" s="69" t="n"/>
      <c r="F901" s="70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1" t="n"/>
      <c r="X901" s="61" t="n"/>
      <c r="Y901" s="61" t="n"/>
      <c r="Z901" s="61" t="n"/>
    </row>
    <row r="902" ht="12.75" customHeight="1" s="150">
      <c r="A902" s="69" t="n"/>
      <c r="B902" s="69" t="n"/>
      <c r="C902" s="69" t="n"/>
      <c r="D902" s="70" t="n"/>
      <c r="E902" s="69" t="n"/>
      <c r="F902" s="70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1" t="n"/>
      <c r="X902" s="61" t="n"/>
      <c r="Y902" s="61" t="n"/>
      <c r="Z902" s="61" t="n"/>
    </row>
    <row r="903" ht="12.75" customHeight="1" s="150">
      <c r="A903" s="69" t="n"/>
      <c r="B903" s="69" t="n"/>
      <c r="C903" s="69" t="n"/>
      <c r="D903" s="70" t="n"/>
      <c r="E903" s="69" t="n"/>
      <c r="F903" s="70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1" t="n"/>
      <c r="X903" s="61" t="n"/>
      <c r="Y903" s="61" t="n"/>
      <c r="Z903" s="61" t="n"/>
    </row>
    <row r="904" ht="12.75" customHeight="1" s="150">
      <c r="A904" s="69" t="n"/>
      <c r="B904" s="69" t="n"/>
      <c r="C904" s="69" t="n"/>
      <c r="D904" s="70" t="n"/>
      <c r="E904" s="69" t="n"/>
      <c r="F904" s="70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1" t="n"/>
      <c r="X904" s="61" t="n"/>
      <c r="Y904" s="61" t="n"/>
      <c r="Z904" s="61" t="n"/>
    </row>
    <row r="905" ht="12.75" customHeight="1" s="150">
      <c r="A905" s="69" t="n"/>
      <c r="B905" s="69" t="n"/>
      <c r="C905" s="69" t="n"/>
      <c r="D905" s="70" t="n"/>
      <c r="E905" s="69" t="n"/>
      <c r="F905" s="70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1" t="n"/>
      <c r="X905" s="61" t="n"/>
      <c r="Y905" s="61" t="n"/>
      <c r="Z905" s="61" t="n"/>
    </row>
    <row r="906" ht="12.75" customHeight="1" s="150">
      <c r="A906" s="69" t="n"/>
      <c r="B906" s="69" t="n"/>
      <c r="C906" s="69" t="n"/>
      <c r="D906" s="70" t="n"/>
      <c r="E906" s="69" t="n"/>
      <c r="F906" s="70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1" t="n"/>
      <c r="X906" s="61" t="n"/>
      <c r="Y906" s="61" t="n"/>
      <c r="Z906" s="61" t="n"/>
    </row>
    <row r="907" ht="12.75" customHeight="1" s="150">
      <c r="A907" s="69" t="n"/>
      <c r="B907" s="69" t="n"/>
      <c r="C907" s="69" t="n"/>
      <c r="D907" s="70" t="n"/>
      <c r="E907" s="69" t="n"/>
      <c r="F907" s="70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1" t="n"/>
      <c r="X907" s="61" t="n"/>
      <c r="Y907" s="61" t="n"/>
      <c r="Z907" s="61" t="n"/>
    </row>
    <row r="908" ht="12.75" customHeight="1" s="150">
      <c r="A908" s="69" t="n"/>
      <c r="B908" s="69" t="n"/>
      <c r="C908" s="69" t="n"/>
      <c r="D908" s="70" t="n"/>
      <c r="E908" s="69" t="n"/>
      <c r="F908" s="70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1" t="n"/>
      <c r="X908" s="61" t="n"/>
      <c r="Y908" s="61" t="n"/>
      <c r="Z908" s="61" t="n"/>
    </row>
    <row r="909" ht="12.75" customHeight="1" s="150">
      <c r="A909" s="69" t="n"/>
      <c r="B909" s="69" t="n"/>
      <c r="C909" s="69" t="n"/>
      <c r="D909" s="70" t="n"/>
      <c r="E909" s="69" t="n"/>
      <c r="F909" s="70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1" t="n"/>
      <c r="X909" s="61" t="n"/>
      <c r="Y909" s="61" t="n"/>
      <c r="Z909" s="61" t="n"/>
    </row>
    <row r="910" ht="12.75" customHeight="1" s="150">
      <c r="A910" s="69" t="n"/>
      <c r="B910" s="69" t="n"/>
      <c r="C910" s="69" t="n"/>
      <c r="D910" s="70" t="n"/>
      <c r="E910" s="69" t="n"/>
      <c r="F910" s="70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1" t="n"/>
      <c r="X910" s="61" t="n"/>
      <c r="Y910" s="61" t="n"/>
      <c r="Z910" s="61" t="n"/>
    </row>
    <row r="911" ht="12.75" customHeight="1" s="150">
      <c r="A911" s="69" t="n"/>
      <c r="B911" s="69" t="n"/>
      <c r="C911" s="69" t="n"/>
      <c r="D911" s="70" t="n"/>
      <c r="E911" s="69" t="n"/>
      <c r="F911" s="70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1" t="n"/>
      <c r="X911" s="61" t="n"/>
      <c r="Y911" s="61" t="n"/>
      <c r="Z911" s="61" t="n"/>
    </row>
    <row r="912" ht="12.75" customHeight="1" s="150">
      <c r="A912" s="69" t="n"/>
      <c r="B912" s="69" t="n"/>
      <c r="C912" s="69" t="n"/>
      <c r="D912" s="70" t="n"/>
      <c r="E912" s="69" t="n"/>
      <c r="F912" s="70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1" t="n"/>
      <c r="X912" s="61" t="n"/>
      <c r="Y912" s="61" t="n"/>
      <c r="Z912" s="61" t="n"/>
    </row>
    <row r="913" ht="12.75" customHeight="1" s="150">
      <c r="A913" s="69" t="n"/>
      <c r="B913" s="69" t="n"/>
      <c r="C913" s="69" t="n"/>
      <c r="D913" s="70" t="n"/>
      <c r="E913" s="69" t="n"/>
      <c r="F913" s="70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1" t="n"/>
      <c r="X913" s="61" t="n"/>
      <c r="Y913" s="61" t="n"/>
      <c r="Z913" s="61" t="n"/>
    </row>
    <row r="914" ht="12.75" customHeight="1" s="150">
      <c r="A914" s="69" t="n"/>
      <c r="B914" s="69" t="n"/>
      <c r="C914" s="69" t="n"/>
      <c r="D914" s="70" t="n"/>
      <c r="E914" s="69" t="n"/>
      <c r="F914" s="70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1" t="n"/>
      <c r="X914" s="61" t="n"/>
      <c r="Y914" s="61" t="n"/>
      <c r="Z914" s="61" t="n"/>
    </row>
    <row r="915" ht="12.75" customHeight="1" s="150">
      <c r="A915" s="69" t="n"/>
      <c r="B915" s="69" t="n"/>
      <c r="C915" s="69" t="n"/>
      <c r="D915" s="70" t="n"/>
      <c r="E915" s="69" t="n"/>
      <c r="F915" s="70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1" t="n"/>
      <c r="X915" s="61" t="n"/>
      <c r="Y915" s="61" t="n"/>
      <c r="Z915" s="61" t="n"/>
    </row>
    <row r="916" ht="12.75" customHeight="1" s="150">
      <c r="A916" s="69" t="n"/>
      <c r="B916" s="69" t="n"/>
      <c r="C916" s="69" t="n"/>
      <c r="D916" s="70" t="n"/>
      <c r="E916" s="69" t="n"/>
      <c r="F916" s="70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1" t="n"/>
      <c r="X916" s="61" t="n"/>
      <c r="Y916" s="61" t="n"/>
      <c r="Z916" s="61" t="n"/>
    </row>
    <row r="917" ht="12.75" customHeight="1" s="150">
      <c r="A917" s="69" t="n"/>
      <c r="B917" s="69" t="n"/>
      <c r="C917" s="69" t="n"/>
      <c r="D917" s="70" t="n"/>
      <c r="E917" s="69" t="n"/>
      <c r="F917" s="70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1" t="n"/>
      <c r="X917" s="61" t="n"/>
      <c r="Y917" s="61" t="n"/>
      <c r="Z917" s="61" t="n"/>
    </row>
    <row r="918" ht="12.75" customHeight="1" s="150">
      <c r="A918" s="69" t="n"/>
      <c r="B918" s="69" t="n"/>
      <c r="C918" s="69" t="n"/>
      <c r="D918" s="70" t="n"/>
      <c r="E918" s="69" t="n"/>
      <c r="F918" s="70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1" t="n"/>
      <c r="X918" s="61" t="n"/>
      <c r="Y918" s="61" t="n"/>
      <c r="Z918" s="61" t="n"/>
    </row>
    <row r="919" ht="12.75" customHeight="1" s="150">
      <c r="A919" s="69" t="n"/>
      <c r="B919" s="69" t="n"/>
      <c r="C919" s="69" t="n"/>
      <c r="D919" s="70" t="n"/>
      <c r="E919" s="69" t="n"/>
      <c r="F919" s="70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1" t="n"/>
      <c r="X919" s="61" t="n"/>
      <c r="Y919" s="61" t="n"/>
      <c r="Z919" s="61" t="n"/>
    </row>
    <row r="920" ht="12.75" customHeight="1" s="150">
      <c r="A920" s="69" t="n"/>
      <c r="B920" s="69" t="n"/>
      <c r="C920" s="69" t="n"/>
      <c r="D920" s="70" t="n"/>
      <c r="E920" s="69" t="n"/>
      <c r="F920" s="70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1" t="n"/>
      <c r="X920" s="61" t="n"/>
      <c r="Y920" s="61" t="n"/>
      <c r="Z920" s="61" t="n"/>
    </row>
    <row r="921" ht="12.75" customHeight="1" s="150">
      <c r="A921" s="69" t="n"/>
      <c r="B921" s="69" t="n"/>
      <c r="C921" s="69" t="n"/>
      <c r="D921" s="70" t="n"/>
      <c r="E921" s="69" t="n"/>
      <c r="F921" s="70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1" t="n"/>
      <c r="X921" s="61" t="n"/>
      <c r="Y921" s="61" t="n"/>
      <c r="Z921" s="61" t="n"/>
    </row>
    <row r="922" ht="12.75" customHeight="1" s="150">
      <c r="A922" s="69" t="n"/>
      <c r="B922" s="69" t="n"/>
      <c r="C922" s="69" t="n"/>
      <c r="D922" s="70" t="n"/>
      <c r="E922" s="69" t="n"/>
      <c r="F922" s="70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1" t="n"/>
      <c r="X922" s="61" t="n"/>
      <c r="Y922" s="61" t="n"/>
      <c r="Z922" s="61" t="n"/>
    </row>
    <row r="923" ht="12.75" customHeight="1" s="150">
      <c r="A923" s="69" t="n"/>
      <c r="B923" s="69" t="n"/>
      <c r="C923" s="69" t="n"/>
      <c r="D923" s="70" t="n"/>
      <c r="E923" s="69" t="n"/>
      <c r="F923" s="70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1" t="n"/>
      <c r="X923" s="61" t="n"/>
      <c r="Y923" s="61" t="n"/>
      <c r="Z923" s="61" t="n"/>
    </row>
    <row r="924" ht="12.75" customHeight="1" s="150">
      <c r="A924" s="69" t="n"/>
      <c r="B924" s="69" t="n"/>
      <c r="C924" s="69" t="n"/>
      <c r="D924" s="70" t="n"/>
      <c r="E924" s="69" t="n"/>
      <c r="F924" s="70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1" t="n"/>
      <c r="X924" s="61" t="n"/>
      <c r="Y924" s="61" t="n"/>
      <c r="Z924" s="61" t="n"/>
    </row>
    <row r="925" ht="12.75" customHeight="1" s="150">
      <c r="A925" s="69" t="n"/>
      <c r="B925" s="69" t="n"/>
      <c r="C925" s="69" t="n"/>
      <c r="D925" s="70" t="n"/>
      <c r="E925" s="69" t="n"/>
      <c r="F925" s="70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1" t="n"/>
      <c r="X925" s="61" t="n"/>
      <c r="Y925" s="61" t="n"/>
      <c r="Z925" s="61" t="n"/>
    </row>
    <row r="926" ht="12.75" customHeight="1" s="150">
      <c r="A926" s="69" t="n"/>
      <c r="B926" s="69" t="n"/>
      <c r="C926" s="69" t="n"/>
      <c r="D926" s="70" t="n"/>
      <c r="E926" s="69" t="n"/>
      <c r="F926" s="70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1" t="n"/>
      <c r="X926" s="61" t="n"/>
      <c r="Y926" s="61" t="n"/>
      <c r="Z926" s="61" t="n"/>
    </row>
    <row r="927" ht="12.75" customHeight="1" s="150">
      <c r="A927" s="69" t="n"/>
      <c r="B927" s="69" t="n"/>
      <c r="C927" s="69" t="n"/>
      <c r="D927" s="70" t="n"/>
      <c r="E927" s="69" t="n"/>
      <c r="F927" s="70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1" t="n"/>
      <c r="X927" s="61" t="n"/>
      <c r="Y927" s="61" t="n"/>
      <c r="Z927" s="61" t="n"/>
    </row>
    <row r="928" ht="12.75" customHeight="1" s="150">
      <c r="A928" s="69" t="n"/>
      <c r="B928" s="69" t="n"/>
      <c r="C928" s="69" t="n"/>
      <c r="D928" s="70" t="n"/>
      <c r="E928" s="69" t="n"/>
      <c r="F928" s="70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1" t="n"/>
      <c r="X928" s="61" t="n"/>
      <c r="Y928" s="61" t="n"/>
      <c r="Z928" s="61" t="n"/>
    </row>
    <row r="929" ht="12.75" customHeight="1" s="150">
      <c r="A929" s="69" t="n"/>
      <c r="B929" s="69" t="n"/>
      <c r="C929" s="69" t="n"/>
      <c r="D929" s="70" t="n"/>
      <c r="E929" s="69" t="n"/>
      <c r="F929" s="70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1" t="n"/>
      <c r="X929" s="61" t="n"/>
      <c r="Y929" s="61" t="n"/>
      <c r="Z929" s="61" t="n"/>
    </row>
    <row r="930" ht="12.75" customHeight="1" s="150">
      <c r="A930" s="69" t="n"/>
      <c r="B930" s="69" t="n"/>
      <c r="C930" s="69" t="n"/>
      <c r="D930" s="70" t="n"/>
      <c r="E930" s="69" t="n"/>
      <c r="F930" s="70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1" t="n"/>
      <c r="X930" s="61" t="n"/>
      <c r="Y930" s="61" t="n"/>
      <c r="Z930" s="61" t="n"/>
    </row>
    <row r="931" ht="12.75" customHeight="1" s="150">
      <c r="A931" s="69" t="n"/>
      <c r="B931" s="69" t="n"/>
      <c r="C931" s="69" t="n"/>
      <c r="D931" s="70" t="n"/>
      <c r="E931" s="69" t="n"/>
      <c r="F931" s="70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1" t="n"/>
      <c r="X931" s="61" t="n"/>
      <c r="Y931" s="61" t="n"/>
      <c r="Z931" s="61" t="n"/>
    </row>
    <row r="932" ht="12.75" customHeight="1" s="150">
      <c r="A932" s="69" t="n"/>
      <c r="B932" s="69" t="n"/>
      <c r="C932" s="69" t="n"/>
      <c r="D932" s="70" t="n"/>
      <c r="E932" s="69" t="n"/>
      <c r="F932" s="70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1" t="n"/>
      <c r="X932" s="61" t="n"/>
      <c r="Y932" s="61" t="n"/>
      <c r="Z932" s="61" t="n"/>
    </row>
    <row r="933" ht="12.75" customHeight="1" s="150">
      <c r="A933" s="69" t="n"/>
      <c r="B933" s="69" t="n"/>
      <c r="C933" s="69" t="n"/>
      <c r="D933" s="70" t="n"/>
      <c r="E933" s="69" t="n"/>
      <c r="F933" s="70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1" t="n"/>
      <c r="X933" s="61" t="n"/>
      <c r="Y933" s="61" t="n"/>
      <c r="Z933" s="61" t="n"/>
    </row>
    <row r="934" ht="12.75" customHeight="1" s="150">
      <c r="A934" s="69" t="n"/>
      <c r="B934" s="69" t="n"/>
      <c r="C934" s="69" t="n"/>
      <c r="D934" s="70" t="n"/>
      <c r="E934" s="69" t="n"/>
      <c r="F934" s="70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1" t="n"/>
      <c r="X934" s="61" t="n"/>
      <c r="Y934" s="61" t="n"/>
      <c r="Z934" s="61" t="n"/>
    </row>
    <row r="935" ht="12.75" customHeight="1" s="150">
      <c r="A935" s="69" t="n"/>
      <c r="B935" s="69" t="n"/>
      <c r="C935" s="69" t="n"/>
      <c r="D935" s="70" t="n"/>
      <c r="E935" s="69" t="n"/>
      <c r="F935" s="70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1" t="n"/>
      <c r="X935" s="61" t="n"/>
      <c r="Y935" s="61" t="n"/>
      <c r="Z935" s="61" t="n"/>
    </row>
    <row r="936" ht="12.75" customHeight="1" s="150">
      <c r="A936" s="69" t="n"/>
      <c r="B936" s="69" t="n"/>
      <c r="C936" s="69" t="n"/>
      <c r="D936" s="70" t="n"/>
      <c r="E936" s="69" t="n"/>
      <c r="F936" s="70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1" t="n"/>
      <c r="X936" s="61" t="n"/>
      <c r="Y936" s="61" t="n"/>
      <c r="Z936" s="61" t="n"/>
    </row>
    <row r="937" ht="12.75" customHeight="1" s="150">
      <c r="A937" s="69" t="n"/>
      <c r="B937" s="69" t="n"/>
      <c r="C937" s="69" t="n"/>
      <c r="D937" s="70" t="n"/>
      <c r="E937" s="69" t="n"/>
      <c r="F937" s="70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1" t="n"/>
      <c r="X937" s="61" t="n"/>
      <c r="Y937" s="61" t="n"/>
      <c r="Z937" s="61" t="n"/>
    </row>
    <row r="938" ht="12.75" customHeight="1" s="150">
      <c r="A938" s="69" t="n"/>
      <c r="B938" s="69" t="n"/>
      <c r="C938" s="69" t="n"/>
      <c r="D938" s="70" t="n"/>
      <c r="E938" s="69" t="n"/>
      <c r="F938" s="70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1" t="n"/>
      <c r="X938" s="61" t="n"/>
      <c r="Y938" s="61" t="n"/>
      <c r="Z938" s="61" t="n"/>
    </row>
    <row r="939" ht="12.75" customHeight="1" s="150">
      <c r="A939" s="69" t="n"/>
      <c r="B939" s="69" t="n"/>
      <c r="C939" s="69" t="n"/>
      <c r="D939" s="70" t="n"/>
      <c r="E939" s="69" t="n"/>
      <c r="F939" s="70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1" t="n"/>
      <c r="X939" s="61" t="n"/>
      <c r="Y939" s="61" t="n"/>
      <c r="Z939" s="61" t="n"/>
    </row>
    <row r="940" ht="12.75" customHeight="1" s="150">
      <c r="A940" s="69" t="n"/>
      <c r="B940" s="69" t="n"/>
      <c r="C940" s="69" t="n"/>
      <c r="D940" s="70" t="n"/>
      <c r="E940" s="69" t="n"/>
      <c r="F940" s="70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1" t="n"/>
      <c r="X940" s="61" t="n"/>
      <c r="Y940" s="61" t="n"/>
      <c r="Z940" s="61" t="n"/>
    </row>
    <row r="941" ht="12.75" customHeight="1" s="150">
      <c r="A941" s="69" t="n"/>
      <c r="B941" s="69" t="n"/>
      <c r="C941" s="69" t="n"/>
      <c r="D941" s="70" t="n"/>
      <c r="E941" s="69" t="n"/>
      <c r="F941" s="70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1" t="n"/>
      <c r="X941" s="61" t="n"/>
      <c r="Y941" s="61" t="n"/>
      <c r="Z941" s="61" t="n"/>
    </row>
    <row r="942" ht="12.75" customHeight="1" s="150">
      <c r="A942" s="69" t="n"/>
      <c r="B942" s="69" t="n"/>
      <c r="C942" s="69" t="n"/>
      <c r="D942" s="70" t="n"/>
      <c r="E942" s="69" t="n"/>
      <c r="F942" s="70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1" t="n"/>
      <c r="X942" s="61" t="n"/>
      <c r="Y942" s="61" t="n"/>
      <c r="Z942" s="61" t="n"/>
    </row>
    <row r="943" ht="12.75" customHeight="1" s="150">
      <c r="A943" s="69" t="n"/>
      <c r="B943" s="69" t="n"/>
      <c r="C943" s="69" t="n"/>
      <c r="D943" s="70" t="n"/>
      <c r="E943" s="69" t="n"/>
      <c r="F943" s="70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1" t="n"/>
      <c r="X943" s="61" t="n"/>
      <c r="Y943" s="61" t="n"/>
      <c r="Z943" s="61" t="n"/>
    </row>
    <row r="944" ht="12.75" customHeight="1" s="150">
      <c r="A944" s="69" t="n"/>
      <c r="B944" s="69" t="n"/>
      <c r="C944" s="69" t="n"/>
      <c r="D944" s="70" t="n"/>
      <c r="E944" s="69" t="n"/>
      <c r="F944" s="70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1" t="n"/>
      <c r="X944" s="61" t="n"/>
      <c r="Y944" s="61" t="n"/>
      <c r="Z944" s="61" t="n"/>
    </row>
    <row r="945" ht="12.75" customHeight="1" s="150">
      <c r="A945" s="69" t="n"/>
      <c r="B945" s="69" t="n"/>
      <c r="C945" s="69" t="n"/>
      <c r="D945" s="70" t="n"/>
      <c r="E945" s="69" t="n"/>
      <c r="F945" s="70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1" t="n"/>
      <c r="X945" s="61" t="n"/>
      <c r="Y945" s="61" t="n"/>
      <c r="Z945" s="61" t="n"/>
    </row>
    <row r="946" ht="12.75" customHeight="1" s="150">
      <c r="A946" s="69" t="n"/>
      <c r="B946" s="69" t="n"/>
      <c r="C946" s="69" t="n"/>
      <c r="D946" s="70" t="n"/>
      <c r="E946" s="69" t="n"/>
      <c r="F946" s="70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1" t="n"/>
      <c r="X946" s="61" t="n"/>
      <c r="Y946" s="61" t="n"/>
      <c r="Z946" s="61" t="n"/>
    </row>
    <row r="947" ht="12.75" customHeight="1" s="150">
      <c r="A947" s="69" t="n"/>
      <c r="B947" s="69" t="n"/>
      <c r="C947" s="69" t="n"/>
      <c r="D947" s="70" t="n"/>
      <c r="E947" s="69" t="n"/>
      <c r="F947" s="70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1" t="n"/>
      <c r="X947" s="61" t="n"/>
      <c r="Y947" s="61" t="n"/>
      <c r="Z947" s="61" t="n"/>
    </row>
    <row r="948" ht="12.75" customHeight="1" s="150">
      <c r="A948" s="69" t="n"/>
      <c r="B948" s="69" t="n"/>
      <c r="C948" s="69" t="n"/>
      <c r="D948" s="70" t="n"/>
      <c r="E948" s="69" t="n"/>
      <c r="F948" s="70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1" t="n"/>
      <c r="X948" s="61" t="n"/>
      <c r="Y948" s="61" t="n"/>
      <c r="Z948" s="61" t="n"/>
    </row>
    <row r="949" ht="12.75" customHeight="1" s="150">
      <c r="A949" s="69" t="n"/>
      <c r="B949" s="69" t="n"/>
      <c r="C949" s="69" t="n"/>
      <c r="D949" s="70" t="n"/>
      <c r="E949" s="69" t="n"/>
      <c r="F949" s="70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1" t="n"/>
      <c r="X949" s="61" t="n"/>
      <c r="Y949" s="61" t="n"/>
      <c r="Z949" s="61" t="n"/>
    </row>
    <row r="950" ht="12.75" customHeight="1" s="150">
      <c r="A950" s="69" t="n"/>
      <c r="B950" s="69" t="n"/>
      <c r="C950" s="69" t="n"/>
      <c r="D950" s="70" t="n"/>
      <c r="E950" s="69" t="n"/>
      <c r="F950" s="70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1" t="n"/>
      <c r="X950" s="61" t="n"/>
      <c r="Y950" s="61" t="n"/>
      <c r="Z950" s="61" t="n"/>
    </row>
    <row r="951" ht="12.75" customHeight="1" s="150">
      <c r="A951" s="69" t="n"/>
      <c r="B951" s="69" t="n"/>
      <c r="C951" s="69" t="n"/>
      <c r="D951" s="70" t="n"/>
      <c r="E951" s="69" t="n"/>
      <c r="F951" s="70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1" t="n"/>
      <c r="X951" s="61" t="n"/>
      <c r="Y951" s="61" t="n"/>
      <c r="Z951" s="61" t="n"/>
    </row>
    <row r="952" ht="12.75" customHeight="1" s="150">
      <c r="A952" s="69" t="n"/>
      <c r="B952" s="69" t="n"/>
      <c r="C952" s="69" t="n"/>
      <c r="D952" s="70" t="n"/>
      <c r="E952" s="69" t="n"/>
      <c r="F952" s="70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1" t="n"/>
      <c r="X952" s="61" t="n"/>
      <c r="Y952" s="61" t="n"/>
      <c r="Z952" s="61" t="n"/>
    </row>
    <row r="953" ht="12.75" customHeight="1" s="150">
      <c r="A953" s="69" t="n"/>
      <c r="B953" s="69" t="n"/>
      <c r="C953" s="69" t="n"/>
      <c r="D953" s="70" t="n"/>
      <c r="E953" s="69" t="n"/>
      <c r="F953" s="70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1" t="n"/>
      <c r="X953" s="61" t="n"/>
      <c r="Y953" s="61" t="n"/>
      <c r="Z953" s="61" t="n"/>
    </row>
    <row r="954" ht="12.75" customHeight="1" s="150">
      <c r="A954" s="69" t="n"/>
      <c r="B954" s="69" t="n"/>
      <c r="C954" s="69" t="n"/>
      <c r="D954" s="70" t="n"/>
      <c r="E954" s="69" t="n"/>
      <c r="F954" s="70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1" t="n"/>
      <c r="X954" s="61" t="n"/>
      <c r="Y954" s="61" t="n"/>
      <c r="Z954" s="61" t="n"/>
    </row>
    <row r="955" ht="12.75" customHeight="1" s="150"/>
    <row r="956" ht="12.75" customHeight="1" s="150"/>
    <row r="957" ht="12.75" customHeight="1" s="150"/>
    <row r="958" ht="12.75" customHeight="1" s="150"/>
    <row r="959" ht="12.75" customHeight="1" s="150"/>
    <row r="960" ht="12.75" customHeight="1" s="150"/>
    <row r="961" ht="12.75" customHeight="1" s="150"/>
    <row r="962" ht="12.75" customHeight="1" s="150"/>
    <row r="963" ht="12.75" customHeight="1" s="150"/>
    <row r="964" ht="12.75" customHeight="1" s="150"/>
    <row r="965" ht="12.75" customHeight="1" s="150"/>
    <row r="966" ht="12.75" customHeight="1" s="150"/>
    <row r="967" ht="12.75" customHeight="1" s="150"/>
    <row r="968" ht="12.75" customHeight="1" s="150"/>
    <row r="969" ht="12.75" customHeight="1" s="150"/>
    <row r="970" ht="12.75" customHeight="1" s="150"/>
    <row r="971" ht="12.75" customHeight="1" s="150"/>
    <row r="972" ht="12.75" customHeight="1" s="150"/>
    <row r="973" ht="12.75" customHeight="1" s="150"/>
    <row r="974" ht="12.75" customHeight="1" s="150"/>
    <row r="975" ht="12.75" customHeight="1" s="150"/>
    <row r="976" ht="12.75" customHeight="1" s="150"/>
    <row r="977" ht="12.75" customHeight="1" s="150"/>
    <row r="978" ht="12.75" customHeight="1" s="150"/>
    <row r="979" ht="12.75" customHeight="1" s="150"/>
    <row r="980" ht="12.75" customHeight="1" s="150"/>
    <row r="981" ht="12.75" customHeight="1" s="150"/>
    <row r="982" ht="12.75" customHeight="1" s="150"/>
    <row r="983" ht="12.75" customHeight="1" s="150"/>
    <row r="984" ht="12.75" customHeight="1" s="150"/>
    <row r="985" ht="12.75" customHeight="1" s="150"/>
    <row r="986" ht="12.75" customHeight="1" s="150"/>
    <row r="987" ht="12.75" customHeight="1" s="150"/>
    <row r="988" ht="12.75" customHeight="1" s="150"/>
    <row r="989" ht="12.75" customHeight="1" s="150"/>
    <row r="990" ht="12.75" customHeight="1" s="150"/>
    <row r="991" ht="12.75" customHeight="1" s="150"/>
    <row r="992" ht="12.75" customHeight="1" s="150"/>
    <row r="993" ht="12.75" customHeight="1" s="150"/>
    <row r="994" ht="12.75" customHeight="1" s="150"/>
    <row r="995" ht="12.75" customHeight="1" s="150"/>
    <row r="996" ht="12.75" customHeight="1" s="150"/>
    <row r="997" ht="12.75" customHeight="1" s="150"/>
    <row r="998" ht="12.75" customHeight="1" s="150"/>
    <row r="999" ht="12.75" customHeight="1" s="150"/>
    <row r="1000" ht="12.75" customHeight="1" s="150"/>
  </sheetData>
  <autoFilter ref="A1:F870"/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53125" defaultRowHeight="14.5"/>
  <cols>
    <col width="13.1796875" customWidth="1" style="150" min="1" max="1"/>
    <col width="21.81640625" customWidth="1" style="150" min="2" max="2"/>
    <col width="29.26953125" customWidth="1" style="150" min="3" max="3"/>
    <col width="34.453125" customWidth="1" style="150" min="4" max="4"/>
    <col width="19.26953125" customWidth="1" style="150" min="5" max="5"/>
    <col width="13.54296875" customWidth="1" style="150" min="6" max="6"/>
    <col width="10.26953125" customWidth="1" style="150" min="7" max="7"/>
    <col width="20.1796875" customWidth="1" style="150" min="8" max="8"/>
    <col width="9.453125" customWidth="1" style="150" min="9" max="9"/>
    <col hidden="1" width="7.54296875" customWidth="1" style="150" min="10" max="10"/>
    <col width="10.26953125" customWidth="1" style="150" min="11" max="11"/>
    <col width="9.1796875" customWidth="1" style="150" min="12" max="26"/>
  </cols>
  <sheetData>
    <row r="1" ht="13.5" customHeight="1" s="150">
      <c r="A1" s="71" t="n"/>
      <c r="B1" s="72" t="n"/>
      <c r="C1" s="72" t="n"/>
      <c r="D1" s="72" t="n"/>
      <c r="E1" s="72" t="n"/>
      <c r="F1" s="73" t="n"/>
      <c r="G1" s="74" t="n"/>
      <c r="H1" s="32" t="n"/>
      <c r="I1" s="75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 ht="15" customHeight="1" s="150">
      <c r="A2" s="77" t="inlineStr">
        <is>
          <t>Module Code</t>
        </is>
      </c>
      <c r="B2" s="147" t="inlineStr">
        <is>
          <t>SearchMail</t>
        </is>
      </c>
      <c r="C2" s="130" t="n"/>
      <c r="D2" s="130" t="n"/>
      <c r="E2" s="130" t="n"/>
      <c r="F2" s="130" t="n"/>
      <c r="G2" s="130" t="n"/>
      <c r="H2" s="131" t="n"/>
      <c r="I2" s="75" t="n"/>
      <c r="J2" s="76" t="inlineStr">
        <is>
          <t>Passed</t>
        </is>
      </c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25.5" customHeight="1" s="150">
      <c r="A3" s="78" t="inlineStr">
        <is>
          <t>Test requirement</t>
        </is>
      </c>
      <c r="B3" s="147" t="inlineStr">
        <is>
          <t>Tìm kiếm thư (Cơ bản &amp; Nâng cao)</t>
        </is>
      </c>
      <c r="C3" s="130" t="n"/>
      <c r="D3" s="130" t="n"/>
      <c r="E3" s="130" t="n"/>
      <c r="F3" s="130" t="n"/>
      <c r="G3" s="130" t="n"/>
      <c r="H3" s="131" t="n"/>
      <c r="I3" s="75" t="n"/>
      <c r="J3" s="76" t="inlineStr">
        <is>
          <t>Failed</t>
        </is>
      </c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 ht="18" customHeight="1" s="150">
      <c r="A4" s="77" t="inlineStr">
        <is>
          <t>Tester</t>
        </is>
      </c>
      <c r="B4" s="147" t="inlineStr">
        <is>
          <t>Trương Trọng Nhân</t>
        </is>
      </c>
      <c r="C4" s="130" t="n"/>
      <c r="D4" s="130" t="n"/>
      <c r="E4" s="130" t="n"/>
      <c r="F4" s="130" t="n"/>
      <c r="G4" s="130" t="n"/>
      <c r="H4" s="131" t="n"/>
      <c r="I4" s="75" t="n"/>
      <c r="J4" s="76" t="inlineStr">
        <is>
          <t>Blocked</t>
        </is>
      </c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 ht="19.5" customHeight="1" s="150">
      <c r="A5" s="79" t="inlineStr">
        <is>
          <t>Passed</t>
        </is>
      </c>
      <c r="B5" s="146" t="inlineStr">
        <is>
          <t>Failed</t>
        </is>
      </c>
      <c r="C5" s="146" t="inlineStr">
        <is>
          <t>Untested</t>
        </is>
      </c>
      <c r="D5" s="146" t="inlineStr">
        <is>
          <t>Blocked</t>
        </is>
      </c>
      <c r="E5" s="80" t="inlineStr">
        <is>
          <t>Skipped</t>
        </is>
      </c>
      <c r="F5" s="146" t="inlineStr">
        <is>
          <t>Number of Test cases</t>
        </is>
      </c>
      <c r="G5" s="130" t="n"/>
      <c r="H5" s="131" t="n"/>
      <c r="I5" s="81" t="n"/>
      <c r="J5" s="76" t="inlineStr">
        <is>
          <t>Untested</t>
        </is>
      </c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 ht="15" customHeight="1" s="150">
      <c r="A6" s="82">
        <f>COUNTIF(F9:F996,"Passed")</f>
        <v/>
      </c>
      <c r="B6" s="83">
        <f>COUNTIF(F9:F996,"Failed")</f>
        <v/>
      </c>
      <c r="C6" s="83">
        <f>F6-E6-D6-B6-A6</f>
        <v/>
      </c>
      <c r="D6" s="83">
        <f>COUNTIF(F$9:F$996,"Blocked")</f>
        <v/>
      </c>
      <c r="E6" s="84">
        <f>COUNTIF(F$9:F$996,"Skipped")</f>
        <v/>
      </c>
      <c r="F6" s="145">
        <f>COUNTA(A9:A996)</f>
        <v/>
      </c>
      <c r="G6" s="130" t="n"/>
      <c r="H6" s="131" t="n"/>
      <c r="I6" s="81" t="n"/>
      <c r="J6" s="76" t="inlineStr">
        <is>
          <t>Skipped</t>
        </is>
      </c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 ht="15" customHeight="1" s="150">
      <c r="A7" s="76" t="n"/>
      <c r="B7" s="76" t="n"/>
      <c r="C7" s="76" t="n"/>
      <c r="D7" s="85" t="n"/>
      <c r="E7" s="85" t="n"/>
      <c r="F7" s="85" t="n"/>
      <c r="G7" s="85" t="n"/>
      <c r="H7" s="85" t="n"/>
      <c r="I7" s="81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 ht="25.5" customHeight="1" s="150">
      <c r="A8" s="86" t="inlineStr">
        <is>
          <t>ID</t>
        </is>
      </c>
      <c r="B8" s="86" t="inlineStr">
        <is>
          <t>Test Case Description</t>
        </is>
      </c>
      <c r="C8" s="86" t="inlineStr">
        <is>
          <t>Test Case Procedure</t>
        </is>
      </c>
      <c r="D8" s="86" t="inlineStr">
        <is>
          <t>Expected Output</t>
        </is>
      </c>
      <c r="E8" s="87" t="inlineStr">
        <is>
          <t>Inter-test case Dependence</t>
        </is>
      </c>
      <c r="F8" s="87" t="inlineStr">
        <is>
          <t>Result</t>
        </is>
      </c>
      <c r="G8" s="87" t="inlineStr">
        <is>
          <t>Test date</t>
        </is>
      </c>
      <c r="H8" s="86" t="inlineStr">
        <is>
          <t>Note</t>
        </is>
      </c>
      <c r="I8" s="88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 ht="94.5" customHeight="1" s="150">
      <c r="A9" s="89">
        <f>IF(OR(B9&lt;&gt;"",D9&lt;&gt;""),"["&amp;TEXT($B$2,"##")&amp;"-"&amp;TEXT(ROW()-8,"##")&amp;"]","")</f>
        <v/>
      </c>
      <c r="B9" s="90" t="inlineStr">
        <is>
          <t>Kiểm tra hiển thị thanh tìm kiếm và nút tùy chọn</t>
        </is>
      </c>
      <c r="C9" s="90" t="inlineStr">
        <is>
          <t>Điều kiện tiên quyết:
+ Đã đăng nhập vào màn hình Hộp thư đến Gmail
Các bước thực hiện:
1. Quan sát khu vực thanh công cụ phía trên cùng của Hộp thư đến</t>
        </is>
      </c>
      <c r="D9" s="90" t="inlineStr">
        <is>
          <t>1. Hiển thị rõ thanh tìm kiếm có chữ gợi ý "Tìm kiếm trong thư" và biểu tượng [Hiển thị tùy chọn tìm kiếm] ở bên phải.</t>
        </is>
      </c>
      <c r="E9" s="91" t="n"/>
      <c r="F9" s="89" t="inlineStr">
        <is>
          <t>Untested</t>
        </is>
      </c>
      <c r="G9" s="92" t="n"/>
      <c r="H9" s="93" t="n"/>
      <c r="I9" s="94" t="n"/>
      <c r="J9" s="95" t="n"/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  <c r="X9" s="95" t="n"/>
      <c r="Y9" s="95" t="n"/>
      <c r="Z9" s="95" t="n"/>
    </row>
    <row r="10" ht="67.5" customHeight="1" s="150">
      <c r="A10" s="89">
        <f>IF(OR(B10&lt;&gt;"",D10&lt;&gt;""),"["&amp;TEXT($B$2,"##")&amp;"-"&amp;TEXT(ROW()-8,"##")&amp;"]","")</f>
        <v/>
      </c>
      <c r="B10" s="90" t="inlineStr">
        <is>
          <t>Kiểm tra danh sách gợi ý khi gõ từ khóa</t>
        </is>
      </c>
      <c r="C10" s="90" t="inlineStr">
        <is>
          <t>Điều kiện tiên quyết:
+ Trong hộp thư có sẵn các email chứa từ "Báo cáo"
Các bước thực hiện:
1. Nhấp chuột vào thanh tìm kiếm
2. Nhập từ khóa ["Báo cáo"] và chờ 1 giây</t>
        </is>
      </c>
      <c r="D10" s="90" t="inlineStr">
        <is>
          <t>2. Hiển thị danh sách xổ xuống (Auto-suggest) bên dưới thanh tìm kiếm gợi ý các từ khóa và email liên quan đến "Báo cáo".</t>
        </is>
      </c>
      <c r="E10" s="91" t="n"/>
      <c r="F10" s="89" t="inlineStr">
        <is>
          <t>Untested</t>
        </is>
      </c>
      <c r="G10" s="92" t="n"/>
      <c r="H10" s="93" t="n"/>
      <c r="I10" s="94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</row>
    <row r="11" ht="81" customHeight="1" s="150">
      <c r="A11" s="89">
        <f>IF(OR(B11&lt;&gt;"",D11&lt;&gt;""),"["&amp;TEXT($B$2,"##")&amp;"-"&amp;TEXT(ROW()-8,"##")&amp;"]","")</f>
        <v/>
      </c>
      <c r="B11" s="90" t="inlineStr">
        <is>
          <t>Tìm kiếm với từ khóa hợp lệ trong Tiêu đề</t>
        </is>
      </c>
      <c r="C11" s="90" t="inlineStr">
        <is>
          <t>Điều kiện tiên quyết:
+ Có ít nhất 1 email có Tiêu đề chứa ["Kế hoạch dự án"]
Các bước thực hiện:
1. Nhập ["Kế hoạch dự án"] vào thanh tìm kiếm
2. Nhấn phím [Enter]</t>
        </is>
      </c>
      <c r="D11" s="90" t="inlineStr">
        <is>
          <t>2. Hiển thị danh sách kết quả gồm các email có chứa cụm từ "Kế hoạch dự án" trong phần Tiêu đề.</t>
        </is>
      </c>
      <c r="E11" s="91" t="n"/>
      <c r="F11" s="89" t="inlineStr">
        <is>
          <t>Untested</t>
        </is>
      </c>
      <c r="G11" s="92" t="n"/>
      <c r="H11" s="93" t="n"/>
      <c r="I11" s="94" t="n"/>
      <c r="J11" s="95" t="n"/>
      <c r="K11" s="95" t="n"/>
      <c r="L11" s="95" t="n"/>
      <c r="M11" s="95" t="n"/>
      <c r="N11" s="95" t="n"/>
      <c r="O11" s="95" t="n"/>
      <c r="P11" s="95" t="n"/>
      <c r="Q11" s="95" t="n"/>
      <c r="R11" s="95" t="n"/>
      <c r="S11" s="95" t="n"/>
      <c r="T11" s="95" t="n"/>
      <c r="U11" s="95" t="n"/>
      <c r="V11" s="95" t="n"/>
      <c r="W11" s="95" t="n"/>
      <c r="X11" s="95" t="n"/>
      <c r="Y11" s="95" t="n"/>
      <c r="Z11" s="95" t="n"/>
    </row>
    <row r="12" ht="67.5" customHeight="1" s="150">
      <c r="A12" s="89">
        <f>IF(OR(B12&lt;&gt;"",D12&lt;&gt;""),"["&amp;TEXT($B$2,"##")&amp;"-"&amp;TEXT(ROW()-8,"##")&amp;"]","")</f>
        <v/>
      </c>
      <c r="B12" s="90" t="inlineStr">
        <is>
          <t>Tìm kiếm với từ khóa hợp lệ trong Nội dung</t>
        </is>
      </c>
      <c r="C12" s="90" t="inlineStr">
        <is>
          <t>Điều kiện tiên quyết:
+ Có ít nhất 1 email có Nội dung chứa ["MeetingLink2026"]
Các bước thực hiện:
1. Nhập ["MeetingLink2026"] vào thanh tìm kiếm
2. Nhấn phím [Enter]</t>
        </is>
      </c>
      <c r="D12" s="90" t="inlineStr">
        <is>
          <t>2. Hiển thị danh sách kết quả gồm các email có chứa từ "MeetingLink2026" trong phần Nội dung thư.</t>
        </is>
      </c>
      <c r="E12" s="91" t="n"/>
      <c r="F12" s="89" t="inlineStr">
        <is>
          <t>Untested</t>
        </is>
      </c>
      <c r="G12" s="92" t="n"/>
      <c r="H12" s="93" t="n"/>
      <c r="I12" s="94" t="n"/>
      <c r="J12" s="95" t="n"/>
      <c r="K12" s="95" t="n"/>
      <c r="L12" s="95" t="n"/>
      <c r="M12" s="95" t="n"/>
      <c r="N12" s="95" t="n"/>
      <c r="O12" s="95" t="n"/>
      <c r="P12" s="95" t="n"/>
      <c r="Q12" s="95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</row>
    <row r="13" ht="108" customHeight="1" s="150">
      <c r="A13" s="89">
        <f>IF(OR(B13&lt;&gt;"",D13&lt;&gt;""),"["&amp;TEXT($B$2,"##")&amp;"-"&amp;TEXT(ROW()-8,"##")&amp;"]","")</f>
        <v/>
      </c>
      <c r="B13" s="90" t="inlineStr">
        <is>
          <t>Tìm kiếm với từ khóa không tồn tại</t>
        </is>
      </c>
      <c r="C13" s="90" t="inlineStr">
        <is>
          <t>Các bước thực hiện:
1. Nhập từ khóa không có thật ["xyz_khong_ton_tai_99999"] vào thanh tìm kiếm
2. Nhấn phím [Enter]</t>
        </is>
      </c>
      <c r="D13" s="90" t="inlineStr">
        <is>
          <t>2. Hiển thị thông báo "Không có thư nào khớp với tìm kiếm của bạn." (No messages matched your search).</t>
        </is>
      </c>
      <c r="E13" s="91" t="n"/>
      <c r="F13" s="89" t="inlineStr">
        <is>
          <t>Untested</t>
        </is>
      </c>
      <c r="G13" s="92" t="n"/>
      <c r="H13" s="93" t="n"/>
      <c r="I13" s="94" t="n"/>
      <c r="J13" s="95" t="n"/>
      <c r="K13" s="95" t="n"/>
      <c r="L13" s="95" t="n"/>
      <c r="M13" s="95" t="n"/>
      <c r="N13" s="95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  <c r="Y13" s="95" t="n"/>
      <c r="Z13" s="95" t="n"/>
    </row>
    <row r="14" ht="67.5" customHeight="1" s="150">
      <c r="A14" s="89">
        <f>IF(OR(B14&lt;&gt;"",D14&lt;&gt;""),"["&amp;TEXT($B$2,"##")&amp;"-"&amp;TEXT(ROW()-8,"##")&amp;"]","")</f>
        <v/>
      </c>
      <c r="B14" s="90" t="inlineStr">
        <is>
          <t>Tìm kiếm không phân biệt chữ HOA - thường</t>
        </is>
      </c>
      <c r="C14" s="90" t="inlineStr">
        <is>
          <t>Điều kiện tiên quyết:
+ Có email chứa từ ["khẩn cấp"]
Các bước thực hiện:
1. Nhập ["KHẨN CẤP"] (chữ in hoa) vào thanh tìm kiếm rồi nhấn [Enter]
2. Nhập ["khẩn cấp"] (chữ thường) vào thanh tìm kiếm rồi nhấn [Enter]</t>
        </is>
      </c>
      <c r="D14" s="90" t="inlineStr">
        <is>
          <t>1. Hiển thị danh sách các email chứa từ "khẩn cấp".
2. Danh sách kết quả trả về ở bước 2 giống hệt với bước 1.</t>
        </is>
      </c>
      <c r="E14" s="91" t="n"/>
      <c r="F14" s="89" t="inlineStr">
        <is>
          <t>Untested</t>
        </is>
      </c>
      <c r="G14" s="92" t="n"/>
      <c r="H14" s="93" t="n"/>
      <c r="I14" s="94" t="n"/>
      <c r="J14" s="95" t="n"/>
      <c r="K14" s="95" t="n"/>
      <c r="L14" s="95" t="n"/>
      <c r="M14" s="95" t="n"/>
      <c r="N14" s="95" t="n"/>
      <c r="O14" s="95" t="n"/>
      <c r="P14" s="95" t="n"/>
      <c r="Q14" s="95" t="n"/>
      <c r="R14" s="95" t="n"/>
      <c r="S14" s="95" t="n"/>
      <c r="T14" s="95" t="n"/>
      <c r="U14" s="95" t="n"/>
      <c r="V14" s="95" t="n"/>
      <c r="W14" s="95" t="n"/>
      <c r="X14" s="95" t="n"/>
      <c r="Y14" s="95" t="n"/>
      <c r="Z14" s="95" t="n"/>
    </row>
    <row r="15" ht="81" customHeight="1" s="150">
      <c r="A15" s="89">
        <f>IF(OR(B15&lt;&gt;"",D15&lt;&gt;""),"["&amp;TEXT($B$2,"##")&amp;"-"&amp;TEXT(ROW()-8,"##")&amp;"]","")</f>
        <v/>
      </c>
      <c r="B15" s="90" t="inlineStr">
        <is>
          <t>Tìm kiếm từ khóa có khoảng trắng ở đầu và cuối</t>
        </is>
      </c>
      <c r="C15" s="90" t="inlineStr">
        <is>
          <t>Điều kiện tiên quyết:
+ Có email chứa từ ["Hóa đơn"]
Các bước thực hiện:
1. Nhập ["   Hóa đơn   "] vào thanh tìm kiếm
2. Nhấn phím [Enter]</t>
        </is>
      </c>
      <c r="D15" s="90" t="inlineStr">
        <is>
          <t>2. Hệ thống tự động loại bỏ khoảng trắng thừa ở 2 đầu và hiển thị các email chứa từ "Hóa đơn".</t>
        </is>
      </c>
      <c r="E15" s="91" t="n"/>
      <c r="F15" s="89" t="inlineStr">
        <is>
          <t>Untested</t>
        </is>
      </c>
      <c r="G15" s="92" t="n"/>
      <c r="H15" s="93" t="n"/>
      <c r="I15" s="96" t="n"/>
      <c r="J15" s="76" t="n"/>
      <c r="K15" s="76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67.5" customHeight="1" s="150">
      <c r="A16" s="89">
        <f>IF(OR(B16&lt;&gt;"",D16&lt;&gt;""),"["&amp;TEXT($B$2,"##")&amp;"-"&amp;TEXT(ROW()-8,"##")&amp;"]","")</f>
        <v/>
      </c>
      <c r="B16" s="90" t="inlineStr">
        <is>
          <t>Tìm kiếm khi chỉ nhập khoảng trắng (Space)</t>
        </is>
      </c>
      <c r="C16" s="90" t="inlineStr">
        <is>
          <t>Các bước thực hiện:
1. Nhập 5 ký tự khoảng trắng ["     "] vào thanh tìm kiếm
2. Nhấn phím [Enter]</t>
        </is>
      </c>
      <c r="D16" s="90" t="inlineStr">
        <is>
          <t>2. Hệ thống không bị lỗi, giữ nguyên danh sách thư hiện tại hoặc báo không có kết quả khớp.</t>
        </is>
      </c>
      <c r="E16" s="91" t="n"/>
      <c r="F16" s="89" t="inlineStr">
        <is>
          <t>Untested</t>
        </is>
      </c>
      <c r="G16" s="92" t="n"/>
      <c r="H16" s="93" t="n"/>
      <c r="I16" s="94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08" customHeight="1" s="150">
      <c r="A17" s="89">
        <f>IF(OR(B17&lt;&gt;"",D17&lt;&gt;""),"["&amp;TEXT($B$2,"##")&amp;"-"&amp;TEXT(ROW()-8,"##")&amp;"]","")</f>
        <v/>
      </c>
      <c r="B17" s="90" t="inlineStr">
        <is>
          <t>Tìm kiếm với chuỗi ký tự đặc biệt</t>
        </is>
      </c>
      <c r="C17" s="90" t="inlineStr">
        <is>
          <t>Các bước thực hiện:
1. Nhập chuỗi ký tự đặc biệt ["!@#$%^&amp;*()"] vào thanh tìm kiếm
2. Nhấn phím [Enter]</t>
        </is>
      </c>
      <c r="D17" s="90" t="inlineStr">
        <is>
          <t>2. Hệ thống xử lý bình thường, hiển thị thông báo "Không có thư nào khớp với tìm kiếm của bạn."</t>
        </is>
      </c>
      <c r="E17" s="91" t="n"/>
      <c r="F17" s="89" t="inlineStr">
        <is>
          <t>Untested</t>
        </is>
      </c>
      <c r="G17" s="92" t="n"/>
      <c r="H17" s="93" t="n"/>
      <c r="I17" s="9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50">
      <c r="A18" s="7">
        <f>IF(OR(B18&lt;&gt;"",D18&lt;&gt;""),"["&amp;TEXT($B$2,"##")&amp;"-"&amp;TEXT(ROW()-8,"##")&amp;"]","")</f>
        <v/>
      </c>
      <c r="B18" s="7" t="inlineStr">
        <is>
          <t>Xóa nhanh từ khóa tìm kiếm bằng nút [X]</t>
        </is>
      </c>
      <c r="C18" s="7" t="inlineStr">
        <is>
          <t>Các bước thực hiện:
1. Nhập từ khóa ["Báo cáo"] vào thanh tìm kiếm
2. Nhấp vào nút biểu tượng dấu [X] (Xóa tìm kiếm) ở góc phải thanh tìm kiếm</t>
        </is>
      </c>
      <c r="D18" s="7" t="inlineStr">
        <is>
          <t>1. Từ khóa "Báo cáo" và nút [X] hiển thị trên thanh tìm kiếm.
2. Ô tìm kiếm được xóa trắng về trạng thái ban đầu.</t>
        </is>
      </c>
      <c r="E18" s="7" t="n"/>
      <c r="F18" s="7" t="inlineStr">
        <is>
          <t>Untested</t>
        </is>
      </c>
      <c r="G18" s="7" t="n"/>
      <c r="H18" s="7" t="n"/>
      <c r="I18" s="9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50">
      <c r="A19" s="7">
        <f>IF(OR(B19&lt;&gt;"",D19&lt;&gt;""),"["&amp;TEXT($B$2,"##")&amp;"-"&amp;TEXT(ROW()-8,"##")&amp;"]","")</f>
        <v/>
      </c>
      <c r="B19" s="7" t="inlineStr">
        <is>
          <t>Mở biểu mẫu Tìm kiếm nâng cao</t>
        </is>
      </c>
      <c r="C19" s="7" t="inlineStr">
        <is>
          <t>Các bước thực hiện:
1. Tại thanh tìm kiếm, nhấp vào biểu tượng [Hiển thị tùy chọn tìm kiếm] (hình thanh trượt bên phải)</t>
        </is>
      </c>
      <c r="D19" s="7" t="inlineStr">
        <is>
          <t>1. Biểu mẫu Tìm kiếm nâng cao xổ xuống hiển thị đầy đủ các trường: Từ, Đến, Tiêu đề, Có các từ, Không có, Kích thước, Ngày trong khoảng, Phạm vi Tìm kiếm, Có tệp đính kèm và nút [Tìm kiếm].</t>
        </is>
      </c>
      <c r="E19" s="7" t="n"/>
      <c r="F19" s="7" t="inlineStr">
        <is>
          <t>Untested</t>
        </is>
      </c>
      <c r="G19" s="7" t="n"/>
      <c r="H19" s="7" t="n"/>
      <c r="I19" s="9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50">
      <c r="A20" s="7">
        <f>IF(OR(B20&lt;&gt;"",D20&lt;&gt;""),"["&amp;TEXT($B$2,"##")&amp;"-"&amp;TEXT(ROW()-8,"##")&amp;"]","")</f>
        <v/>
      </c>
      <c r="B20" s="7" t="inlineStr">
        <is>
          <t>Kiểm tra giá trị mặc định trong Tìm kiếm nâng cao</t>
        </is>
      </c>
      <c r="C20" s="7" t="inlineStr">
        <is>
          <t>Các bước thực hiện:
1. Nhấp mở biểu tượng [Hiển thị tùy chọn tìm kiếm]
2. Quan sát giá trị mặc định của tất cả các trường</t>
        </is>
      </c>
      <c r="D20" s="7" t="inlineStr">
        <is>
          <t>2. Các ô nhập văn bản đều trống; [Kích thước] = "lớn hơn", "MB"; [Ngày trong khoảng] = "1 ngày"; [Tìm kiếm] = "Tất cả thư"; ô [Có tệp đính kèm] chưa được tích.</t>
        </is>
      </c>
      <c r="E20" s="7" t="n"/>
      <c r="F20" s="7" t="inlineStr">
        <is>
          <t>Untested</t>
        </is>
      </c>
      <c r="G20" s="7" t="n"/>
      <c r="H20" s="7" t="n"/>
      <c r="I20" s="9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50">
      <c r="A21" s="7">
        <f>IF(OR(B21&lt;&gt;"",D21&lt;&gt;""),"["&amp;TEXT($B$2,"##")&amp;"-"&amp;TEXT(ROW()-8,"##")&amp;"]","")</f>
        <v/>
      </c>
      <c r="B21" s="7" t="inlineStr">
        <is>
          <t>Lọc theo trường [Từ] với email hợp lệ</t>
        </is>
      </c>
      <c r="C21" s="7" t="inlineStr">
        <is>
          <t>Điều kiện tiên quyết:
+ Có email được gửi từ ["sender_test@gmail.com"]
Các bước thực hiện:
1. Mở biểu mẫu Tìm kiếm nâng cao
2. Nhập ["sender_test@gmail.com"] vào ô [Từ] (From)
3. Nhấp nút [Tìm kiếm]</t>
        </is>
      </c>
      <c r="D21" s="7" t="inlineStr">
        <is>
          <t>3. Chỉ hiển thị các email được gửi từ địa chỉ "sender_test@gmail.com".</t>
        </is>
      </c>
      <c r="E21" s="7" t="n"/>
      <c r="F21" s="7" t="inlineStr">
        <is>
          <t>Untested</t>
        </is>
      </c>
      <c r="G21" s="7" t="n"/>
      <c r="H21" s="7" t="n"/>
      <c r="I21" s="9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50">
      <c r="A22" s="7">
        <f>IF(OR(B22&lt;&gt;"",D22&lt;&gt;""),"["&amp;TEXT($B$2,"##")&amp;"-"&amp;TEXT(ROW()-8,"##")&amp;"]","")</f>
        <v/>
      </c>
      <c r="B22" s="7" t="inlineStr">
        <is>
          <t>Lọc theo trường [Từ] với email không có thư</t>
        </is>
      </c>
      <c r="C22" s="7" t="inlineStr">
        <is>
          <t>Các bước thực hiện:
1. Mở biểu mẫu Tìm kiếm nâng cao
2. Nhập ["no_one_999@gmail.com"] vào ô [Từ] (From)
3. Nhấp nút [Tìm kiếm]</t>
        </is>
      </c>
      <c r="D22" s="7" t="inlineStr">
        <is>
          <t>3. Hiển thị thông báo "Không có thư nào khớp với tìm kiếm của bạn."</t>
        </is>
      </c>
      <c r="E22" s="7" t="n"/>
      <c r="F22" s="7" t="inlineStr">
        <is>
          <t>Untested</t>
        </is>
      </c>
      <c r="G22" s="7" t="n"/>
      <c r="H22" s="7" t="n"/>
      <c r="I22" s="9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50">
      <c r="A23" s="7">
        <f>IF(OR(B23&lt;&gt;"",D23&lt;&gt;""),"["&amp;TEXT($B$2,"##")&amp;"-"&amp;TEXT(ROW()-8,"##")&amp;"]","")</f>
        <v/>
      </c>
      <c r="B23" s="7" t="inlineStr">
        <is>
          <t>Lọc theo trường [Đến] với email người nhận</t>
        </is>
      </c>
      <c r="C23" s="7" t="inlineStr">
        <is>
          <t>Điều kiện tiên quyết:
+ Có email gửi đến ["recipient_test@gmail.com"]
Các bước thực hiện:
1. Mở biểu mẫu Tìm kiếm nâng cao
2. Nhập ["recipient_test@gmail.com"] vào ô [Đến] (To)
3. Nhấp nút [Tìm kiếm]</t>
        </is>
      </c>
      <c r="D23" s="7" t="inlineStr">
        <is>
          <t>3. Chỉ hiển thị các email có người nhận là "recipient_test@gmail.com".</t>
        </is>
      </c>
      <c r="E23" s="7" t="n"/>
      <c r="F23" s="7" t="inlineStr">
        <is>
          <t>Untested</t>
        </is>
      </c>
      <c r="G23" s="7" t="n"/>
      <c r="H23" s="7" t="n"/>
      <c r="I23" s="9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50">
      <c r="A24" s="7">
        <f>IF(OR(B24&lt;&gt;"",D24&lt;&gt;""),"["&amp;TEXT($B$2,"##")&amp;"-"&amp;TEXT(ROW()-8,"##")&amp;"]","")</f>
        <v/>
      </c>
      <c r="B24" s="7" t="inlineStr">
        <is>
          <t>Lọc theo trường [Tiêu đề] (Subject)</t>
        </is>
      </c>
      <c r="C24" s="7" t="inlineStr">
        <is>
          <t>Điều kiện tiên quyết:
+ Có email mang tiêu đề ["Báo cáo tháng"]
Các bước thực hiện:
1. Mở biểu mẫu Tìm kiếm nâng cao
2. Nhập ["Báo cáo tháng"] vào ô [Tiêu đề]
3. Nhấp nút [Tìm kiếm]</t>
        </is>
      </c>
      <c r="D24" s="7" t="inlineStr">
        <is>
          <t>3. Chỉ hiển thị các email có dòng Tiêu đề chứa cụm từ "Báo cáo tháng".</t>
        </is>
      </c>
      <c r="E24" s="7" t="n"/>
      <c r="F24" s="7" t="inlineStr">
        <is>
          <t>Untested</t>
        </is>
      </c>
      <c r="G24" s="7" t="n"/>
      <c r="H24" s="7" t="n"/>
      <c r="I24" s="9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50">
      <c r="A25" s="7">
        <f>IF(OR(B25&lt;&gt;"",D25&lt;&gt;""),"["&amp;TEXT($B$2,"##")&amp;"-"&amp;TEXT(ROW()-8,"##")&amp;"]","")</f>
        <v/>
      </c>
      <c r="B25" s="7" t="inlineStr">
        <is>
          <t>Lọc theo trường [Có các từ] (Has the words)</t>
        </is>
      </c>
      <c r="C25" s="7" t="inlineStr">
        <is>
          <t>Điều kiện tiên quyết:
+ Có email chứa từ ["Bảo mật"]
Các bước thực hiện:
1. Mở biểu mẫu Tìm kiếm nâng cao
2. Nhập ["Bảo mật"] vào ô [Có các từ]
3. Nhấp nút [Tìm kiếm]</t>
        </is>
      </c>
      <c r="D25" s="7" t="inlineStr">
        <is>
          <t>3. Hiển thị tất cả email có chứa từ "Bảo mật" trong tiêu đề hoặc nội dung.</t>
        </is>
      </c>
      <c r="E25" s="7" t="n"/>
      <c r="F25" s="7" t="inlineStr">
        <is>
          <t>Untested</t>
        </is>
      </c>
      <c r="G25" s="7" t="n"/>
      <c r="H25" s="7" t="n"/>
      <c r="I25" s="9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50">
      <c r="A26" s="7">
        <f>IF(OR(B26&lt;&gt;"",D26&lt;&gt;""),"["&amp;TEXT($B$2,"##")&amp;"-"&amp;TEXT(ROW()-8,"##")&amp;"]","")</f>
        <v/>
      </c>
      <c r="B26" s="7" t="inlineStr">
        <is>
          <t>Lọc loại trừ bằng trường [Không có] (Doesn't have)</t>
        </is>
      </c>
      <c r="C26" s="7" t="inlineStr">
        <is>
          <t>Điều kiện tiên quyết:
+ Có các email chứa và không chứa từ ["Quảng cáo"]
Các bước thực hiện:
1. Mở biểu mẫu Tìm kiếm nâng cao
2. Nhập ["Quảng cáo"] vào ô [Không có]
3. Nhấp nút [Tìm kiếm]</t>
        </is>
      </c>
      <c r="D26" s="7" t="inlineStr">
        <is>
          <t>3. Danh sách kết quả chỉ hiển thị các email KHÔNG chứa từ "Quảng cáo".</t>
        </is>
      </c>
      <c r="E26" s="7" t="n"/>
      <c r="F26" s="7" t="inlineStr">
        <is>
          <t>Untested</t>
        </is>
      </c>
      <c r="G26" s="7" t="n"/>
      <c r="H26" s="7" t="n"/>
      <c r="I26" s="9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50">
      <c r="A27" s="7">
        <f>IF(OR(B27&lt;&gt;"",D27&lt;&gt;""),"["&amp;TEXT($B$2,"##")&amp;"-"&amp;TEXT(ROW()-8,"##")&amp;"]","")</f>
        <v/>
      </c>
      <c r="B27" s="7" t="inlineStr">
        <is>
          <t>Lọc theo [Kích thước] lớn hơn X MB</t>
        </is>
      </c>
      <c r="C27" s="7" t="inlineStr">
        <is>
          <t>Điều kiện tiên quyết:
+ Có ít nhất 1 email đính kèm tệp dung lượng &gt; 2 MB
Các bước thực hiện:
1. Mở biểu mẫu Tìm kiếm nâng cao
2. Tại mục [Kích thước], chọn ["lớn hơn"], nhập ["2"], chọn ["MB"]
3. Nhấp nút [Tìm kiếm]</t>
        </is>
      </c>
      <c r="D27" s="7" t="inlineStr">
        <is>
          <t>3. Chỉ hiển thị các email có tổng dung lượng lớn hơn 2 MB.</t>
        </is>
      </c>
      <c r="E27" s="7" t="n"/>
      <c r="F27" s="7" t="inlineStr">
        <is>
          <t>Untested</t>
        </is>
      </c>
      <c r="G27" s="7" t="n"/>
      <c r="H27" s="7" t="n"/>
      <c r="I27" s="9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50">
      <c r="A28" s="7">
        <f>IF(OR(B28&lt;&gt;"",D28&lt;&gt;""),"["&amp;TEXT($B$2,"##")&amp;"-"&amp;TEXT(ROW()-8,"##")&amp;"]","")</f>
        <v/>
      </c>
      <c r="B28" s="7" t="inlineStr">
        <is>
          <t>Lọc theo [Kích thước] nhỏ hơn X MB</t>
        </is>
      </c>
      <c r="C28" s="7" t="inlineStr">
        <is>
          <t>Các bước thực hiện:
1. Mở biểu mẫu Tìm kiếm nâng cao
2. Tại mục [Kích thước], chọn ["nhỏ hơn"], nhập ["1"], chọn ["MB"]
3. Nhấp nút [Tìm kiếm]</t>
        </is>
      </c>
      <c r="D28" s="7" t="inlineStr">
        <is>
          <t>3. Chỉ hiển thị các email có tổng dung lượng nhỏ hơn 1 MB.</t>
        </is>
      </c>
      <c r="E28" s="7" t="n"/>
      <c r="F28" s="7" t="inlineStr">
        <is>
          <t>Untested</t>
        </is>
      </c>
      <c r="G28" s="7" t="n"/>
      <c r="H28" s="7" t="n"/>
      <c r="I28" s="9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50">
      <c r="A29" s="7">
        <f>IF(OR(B29&lt;&gt;"",D29&lt;&gt;""),"["&amp;TEXT($B$2,"##")&amp;"-"&amp;TEXT(ROW()-8,"##")&amp;"]","")</f>
        <v/>
      </c>
      <c r="B29" s="7" t="inlineStr">
        <is>
          <t>Lọc theo [Ngày trong khoảng] 1 tuần</t>
        </is>
      </c>
      <c r="C29" s="7" t="inlineStr">
        <is>
          <t>Các bước thực hiện:
1. Mở biểu mẫu Tìm kiếm nâng cao
2. Chọn [Ngày trong khoảng] = ["1 tuần"] tính từ ngày hôm nay
3. Nhấp nút [Tìm kiếm]</t>
        </is>
      </c>
      <c r="D29" s="7" t="inlineStr">
        <is>
          <t>3. Chỉ hiển thị các email được gửi hoặc nhận trong vòng 1 tuần xung quanh ngày đã chọn.</t>
        </is>
      </c>
      <c r="E29" s="7" t="n"/>
      <c r="F29" s="7" t="inlineStr">
        <is>
          <t>Untested</t>
        </is>
      </c>
      <c r="G29" s="7" t="n"/>
      <c r="H29" s="7" t="n"/>
      <c r="I29" s="9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50">
      <c r="A30" s="7">
        <f>IF(OR(B30&lt;&gt;"",D30&lt;&gt;""),"["&amp;TEXT($B$2,"##")&amp;"-"&amp;TEXT(ROW()-8,"##")&amp;"]","")</f>
        <v/>
      </c>
      <c r="B30" s="7" t="inlineStr">
        <is>
          <t>Lọc theo tùy chọn [Có tệp đính kèm]</t>
        </is>
      </c>
      <c r="C30" s="7" t="inlineStr">
        <is>
          <t>Điều kiện tiên quyết:
+ Hộp thư có cả email đính kèm tệp và email văn bản thuần
Các bước thực hiện:
1. Mở biểu mẫu Tìm kiếm nâng cao
2. Tích chọn ô [Có tệp đính kèm] (Has attachment)
3. Nhấp nút [Tìm kiếm]</t>
        </is>
      </c>
      <c r="D30" s="7" t="inlineStr">
        <is>
          <t>3. Chỉ hiển thị các email có chứa tệp đính kèm.</t>
        </is>
      </c>
      <c r="E30" s="7" t="n"/>
      <c r="F30" s="7" t="inlineStr">
        <is>
          <t>Untested</t>
        </is>
      </c>
      <c r="G30" s="7" t="n"/>
      <c r="H30" s="7" t="n"/>
      <c r="I30" s="9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50">
      <c r="A31" s="7">
        <f>IF(OR(B31&lt;&gt;"",D31&lt;&gt;""),"["&amp;TEXT($B$2,"##")&amp;"-"&amp;TEXT(ROW()-8,"##")&amp;"]","")</f>
        <v/>
      </c>
      <c r="B31" s="7" t="inlineStr">
        <is>
          <t>Lọc theo phạm vi thư mục [Tìm kiếm]</t>
        </is>
      </c>
      <c r="C31" s="7" t="inlineStr">
        <is>
          <t>Các bước thực hiện:
1. Mở biểu mẫu Tìm kiếm nâng cao
2. Tại mục [Tìm kiếm], chọn ["Thư đã gửi"] (Sent Mail)
3. Nhập ["Test"] vào ô [Tiêu đề] rồi nhấn [Tìm kiếm]</t>
        </is>
      </c>
      <c r="D31" s="7" t="inlineStr">
        <is>
          <t>3. Chỉ hiển thị các email trong mục [Thư đã gửi] có tiêu đề chứa từ "Test" (Thanh tìm kiếm hiện "in:sent subject:Test").</t>
        </is>
      </c>
      <c r="E31" s="7" t="n"/>
      <c r="F31" s="7" t="inlineStr">
        <is>
          <t>Untested</t>
        </is>
      </c>
      <c r="G31" s="7" t="n"/>
      <c r="H31" s="7" t="n"/>
      <c r="I31" s="9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50">
      <c r="A32" s="7">
        <f>IF(OR(B32&lt;&gt;"",D32&lt;&gt;""),"["&amp;TEXT($B$2,"##")&amp;"-"&amp;TEXT(ROW()-8,"##")&amp;"]","")</f>
        <v/>
      </c>
      <c r="B32" s="7" t="inlineStr">
        <is>
          <t>Lọc kết hợp: [Từ] + [Có tệp đính kèm]</t>
        </is>
      </c>
      <c r="C32" s="7" t="inlineStr">
        <is>
          <t>Các bước thực hiện:
1. Mở biểu mẫu Tìm kiếm nâng cao
2. Nhập ["sender_test@gmail.com"] vào ô [Từ]
3. Tích chọn ô [Có tệp đính kèm]
4. Nhấp nút [Tìm kiếm]</t>
        </is>
      </c>
      <c r="D32" s="7" t="inlineStr">
        <is>
          <t>4. Chỉ hiển thị các email gửi từ "sender_test@gmail.com" VÀ có đính kèm tệp.</t>
        </is>
      </c>
      <c r="E32" s="7" t="n"/>
      <c r="F32" s="7" t="inlineStr">
        <is>
          <t>Untested</t>
        </is>
      </c>
      <c r="G32" s="7" t="n"/>
      <c r="H32" s="7" t="n"/>
      <c r="I32" s="9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50">
      <c r="A33" s="7">
        <f>IF(OR(B33&lt;&gt;"",D33&lt;&gt;""),"["&amp;TEXT($B$2,"##")&amp;"-"&amp;TEXT(ROW()-8,"##")&amp;"]","")</f>
        <v/>
      </c>
      <c r="B33" s="7" t="inlineStr">
        <is>
          <t>Lọc kết hợp: [Tiêu đề] + [Ngày trong khoảng]</t>
        </is>
      </c>
      <c r="C33" s="7" t="inlineStr">
        <is>
          <t>Các bước thực hiện:
1. Mở biểu mẫu Tìm kiếm nâng cao
2. Nhập ["Báo cáo"] vào ô [Tiêu đề]
3. Chọn [Ngày trong khoảng] = ["1 tháng"] tính từ hôm nay
4. Nhấp nút [Tìm kiếm]</t>
        </is>
      </c>
      <c r="D33" s="7" t="inlineStr">
        <is>
          <t>4. Chỉ hiển thị các email có tiêu đề "Báo cáo" trong vòng 1 tháng qua.</t>
        </is>
      </c>
      <c r="E33" s="7" t="n"/>
      <c r="F33" s="7" t="inlineStr">
        <is>
          <t>Untested</t>
        </is>
      </c>
      <c r="G33" s="7" t="n"/>
      <c r="H33" s="7" t="n"/>
      <c r="I33" s="9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50">
      <c r="A34" s="7">
        <f>IF(OR(B34&lt;&gt;"",D34&lt;&gt;""),"["&amp;TEXT($B$2,"##")&amp;"-"&amp;TEXT(ROW()-8,"##")&amp;"]","")</f>
        <v/>
      </c>
      <c r="B34" s="7" t="inlineStr">
        <is>
          <t>Lọc kết hợp với điều kiện mâu thuẫn nhau</t>
        </is>
      </c>
      <c r="C34" s="7" t="inlineStr">
        <is>
          <t>Các bước thực hiện:
1. Mở biểu mẫu Tìm kiếm nâng cao
2. Nhập cùng từ ["Báo cáo"] vào cả 2 ô [Có các từ] và [Không có]
3. Nhấp nút [Tìm kiếm]</t>
        </is>
      </c>
      <c r="D34" s="7" t="inlineStr">
        <is>
          <t>3. Hiển thị thông báo "Không có thư nào khớp với tìm kiếm của bạn."</t>
        </is>
      </c>
      <c r="E34" s="7" t="n"/>
      <c r="F34" s="7" t="inlineStr">
        <is>
          <t>Untested</t>
        </is>
      </c>
      <c r="G34" s="7" t="n"/>
      <c r="H34" s="7" t="n"/>
      <c r="I34" s="9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50">
      <c r="A35" s="7">
        <f>IF(OR(B35&lt;&gt;"",D35&lt;&gt;""),"["&amp;TEXT($B$2,"##")&amp;"-"&amp;TEXT(ROW()-8,"##")&amp;"]","")</f>
        <v/>
      </c>
      <c r="B35" s="7" t="inlineStr">
        <is>
          <t>Kiểm tra chuỗi toán tử tự động sinh trên thanh tìm kiếm</t>
        </is>
      </c>
      <c r="C35" s="7" t="inlineStr">
        <is>
          <t>Các bước thực hiện:
1. Mở biểu mẫu Tìm kiếm nâng cao
2. Nhập ["boss@company.com"] vào [Từ], ["Khẩn"] vào [Tiêu đề], tích chọn [Có tệp đính kèm]
3. Nhấp nút [Tìm kiếm]</t>
        </is>
      </c>
      <c r="D35" s="7" t="inlineStr">
        <is>
          <t>3. Thanh tìm kiếm tự động sinh đúng cú pháp toán tử: "from:(boss@company.com) subject:(Khẩn) has:attachment".</t>
        </is>
      </c>
      <c r="E35" s="7" t="n"/>
      <c r="F35" s="7" t="inlineStr">
        <is>
          <t>Untested</t>
        </is>
      </c>
      <c r="G35" s="7" t="n"/>
      <c r="H35" s="7" t="n"/>
      <c r="I35" s="9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50">
      <c r="A36" s="7">
        <f>IF(OR(B36&lt;&gt;"",D36&lt;&gt;""),"["&amp;TEXT($B$2,"##")&amp;"-"&amp;TEXT(ROW()-8,"##")&amp;"]","")</f>
        <v/>
      </c>
      <c r="B36" s="7" t="inlineStr">
        <is>
          <t>Nhấn [Tìm kiếm] khi để trống toàn bộ biểu mẫu</t>
        </is>
      </c>
      <c r="C36" s="7" t="inlineStr">
        <is>
          <t>Các bước thực hiện:
1. Mở biểu mẫu Tìm kiếm nâng cao
2. Để trống tất cả các trường
3. Nhấp nút [Tìm kiếm]</t>
        </is>
      </c>
      <c r="D36" s="7" t="inlineStr">
        <is>
          <t>3. Biểu mẫu đóng lại và hiển thị danh sách toàn bộ thư trong Hộp thư (All Mail).</t>
        </is>
      </c>
      <c r="E36" s="7" t="n"/>
      <c r="F36" s="7" t="inlineStr">
        <is>
          <t>Untested</t>
        </is>
      </c>
      <c r="G36" s="7" t="n"/>
      <c r="H36" s="7" t="n"/>
      <c r="I36" s="9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50">
      <c r="A37" s="7">
        <f>IF(OR(B37&lt;&gt;"",D37&lt;&gt;""),"["&amp;TEXT($B$2,"##")&amp;"-"&amp;TEXT(ROW()-8,"##")&amp;"]","")</f>
        <v/>
      </c>
      <c r="B37" s="7" t="inlineStr">
        <is>
          <t>Lọc theo [Kích thước] khi nhập chữ hoặc ký tự không hợp lệ</t>
        </is>
      </c>
      <c r="C37" s="7" t="inlineStr">
        <is>
          <t>Các bước thực hiện:
1. Mở biểu mẫu Tìm kiếm nâng cao
2. Tại mục [Kích thước], chọn ["lớn hơn"], nhập ["abc@#"] vào ô giá trị, chọn ["MB"]
3. Nhấp nút [Tìm kiếm]</t>
        </is>
      </c>
      <c r="D37" s="7" t="inlineStr">
        <is>
          <t>2. Ô nhập [Kích thước] không chấp nhận chữ và ký tự đặc biệt (chỉ cho phép nhập số).
3. Hệ thống không bị lỗi; bộ lọc [Kích thước] bị bỏ qua hoặc hiển thị danh sách thư theo các điều kiện còn lại.</t>
        </is>
      </c>
      <c r="E37" s="7" t="n"/>
      <c r="F37" s="7" t="inlineStr">
        <is>
          <t>Untested</t>
        </is>
      </c>
      <c r="G37" s="7" t="n"/>
      <c r="H37" s="7" t="n"/>
      <c r="I37" s="9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50">
      <c r="A38" s="7">
        <f>IF(OR(B38&lt;&gt;"",D38&lt;&gt;""),"["&amp;TEXT($B$2,"##")&amp;"-"&amp;TEXT(ROW()-8,"##")&amp;"]","")</f>
        <v/>
      </c>
      <c r="B38" s="7" t="inlineStr">
        <is>
          <t>Lọc kết hợp: [Có các từ] + [Không có]</t>
        </is>
      </c>
      <c r="C38" s="7" t="inlineStr">
        <is>
          <t>Điều kiện tiên quyết:
+ Có email chứa cả từ ["Báo cáo"] và ["Nháp"], và có email chỉ chứa từ ["Báo cáo"]
Các bước thực hiện:
1. Mở biểu mẫu Tìm kiếm nâng cao
2. Nhập ["Báo cáo"] vào ô [Có các từ] và nhập ["Nháp"] vào ô [Không có]
3. Nhấp nút [Tìm kiếm]</t>
        </is>
      </c>
      <c r="D38" s="7" t="inlineStr">
        <is>
          <t>3. Chỉ hiển thị các email có chứa từ "Báo cáo" VÀ KHÔNG chứa từ "Nháp".</t>
        </is>
      </c>
      <c r="E38" s="7" t="n"/>
      <c r="F38" s="7" t="inlineStr">
        <is>
          <t>Untested</t>
        </is>
      </c>
      <c r="G38" s="7" t="n"/>
      <c r="H38" s="7" t="n"/>
      <c r="I38" s="9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50">
      <c r="A39" s="7" t="n"/>
      <c r="B39" s="7" t="n"/>
      <c r="C39" s="7" t="n"/>
      <c r="D39" s="7" t="n"/>
      <c r="E39" s="7" t="n"/>
      <c r="F39" s="7" t="n"/>
      <c r="G39" s="7" t="n"/>
      <c r="H39" s="7" t="n"/>
      <c r="I39" s="9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50">
      <c r="A40" s="7" t="n"/>
      <c r="B40" s="7" t="n"/>
      <c r="C40" s="7" t="n"/>
      <c r="D40" s="7" t="n"/>
      <c r="E40" s="7" t="n"/>
      <c r="F40" s="7" t="n"/>
      <c r="G40" s="7" t="n"/>
      <c r="H40" s="7" t="n"/>
      <c r="I40" s="9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50">
      <c r="A41" s="7" t="n"/>
      <c r="B41" s="7" t="n"/>
      <c r="C41" s="7" t="n"/>
      <c r="D41" s="7" t="n"/>
      <c r="E41" s="7" t="n"/>
      <c r="F41" s="7" t="n"/>
      <c r="G41" s="7" t="n"/>
      <c r="H41" s="7" t="n"/>
      <c r="I41" s="9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50">
      <c r="A42" s="7" t="n"/>
      <c r="B42" s="7" t="n"/>
      <c r="C42" s="7" t="n"/>
      <c r="D42" s="7" t="n"/>
      <c r="E42" s="7" t="n"/>
      <c r="F42" s="7" t="n"/>
      <c r="G42" s="7" t="n"/>
      <c r="H42" s="7" t="n"/>
      <c r="I42" s="9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50">
      <c r="A43" s="7" t="n"/>
      <c r="B43" s="7" t="n"/>
      <c r="C43" s="7" t="n"/>
      <c r="D43" s="7" t="n"/>
      <c r="E43" s="7" t="n"/>
      <c r="F43" s="7" t="n"/>
      <c r="G43" s="7" t="n"/>
      <c r="H43" s="7" t="n"/>
      <c r="I43" s="9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50">
      <c r="A44" s="7" t="n"/>
      <c r="B44" s="7" t="n"/>
      <c r="C44" s="7" t="n"/>
      <c r="D44" s="7" t="n"/>
      <c r="E44" s="7" t="n"/>
      <c r="F44" s="7" t="n"/>
      <c r="G44" s="7" t="n"/>
      <c r="H44" s="7" t="n"/>
      <c r="I44" s="9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50">
      <c r="A45" s="7" t="n"/>
      <c r="B45" s="7" t="n"/>
      <c r="C45" s="7" t="n"/>
      <c r="D45" s="7" t="n"/>
      <c r="E45" s="7" t="n"/>
      <c r="F45" s="7" t="n"/>
      <c r="G45" s="7" t="n"/>
      <c r="H45" s="7" t="n"/>
      <c r="I45" s="9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50">
      <c r="A46" s="7" t="n"/>
      <c r="B46" s="7" t="n"/>
      <c r="C46" s="7" t="n"/>
      <c r="D46" s="7" t="n"/>
      <c r="E46" s="7" t="n"/>
      <c r="F46" s="7" t="n"/>
      <c r="G46" s="7" t="n"/>
      <c r="H46" s="7" t="n"/>
      <c r="I46" s="9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50">
      <c r="A47" s="7" t="n"/>
      <c r="B47" s="7" t="n"/>
      <c r="C47" s="7" t="n"/>
      <c r="D47" s="7" t="n"/>
      <c r="E47" s="7" t="n"/>
      <c r="F47" s="7" t="n"/>
      <c r="G47" s="7" t="n"/>
      <c r="H47" s="7" t="n"/>
      <c r="I47" s="9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50">
      <c r="A48" s="7" t="n"/>
      <c r="B48" s="7" t="n"/>
      <c r="C48" s="7" t="n"/>
      <c r="D48" s="7" t="n"/>
      <c r="E48" s="7" t="n"/>
      <c r="F48" s="7" t="n"/>
      <c r="G48" s="7" t="n"/>
      <c r="H48" s="7" t="n"/>
      <c r="I48" s="9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50">
      <c r="A49" s="7" t="n"/>
      <c r="B49" s="7" t="n"/>
      <c r="C49" s="7" t="n"/>
      <c r="D49" s="7" t="n"/>
      <c r="E49" s="7" t="n"/>
      <c r="F49" s="7" t="n"/>
      <c r="G49" s="7" t="n"/>
      <c r="H49" s="7" t="n"/>
      <c r="I49" s="9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50">
      <c r="A50" s="7" t="n"/>
      <c r="B50" s="7" t="n"/>
      <c r="C50" s="7" t="n"/>
      <c r="D50" s="7" t="n"/>
      <c r="E50" s="7" t="n"/>
      <c r="F50" s="7" t="n"/>
      <c r="G50" s="7" t="n"/>
      <c r="H50" s="7" t="n"/>
      <c r="I50" s="9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50">
      <c r="A51" s="7" t="n"/>
      <c r="B51" s="7" t="n"/>
      <c r="C51" s="7" t="n"/>
      <c r="D51" s="7" t="n"/>
      <c r="E51" s="7" t="n"/>
      <c r="F51" s="7" t="n"/>
      <c r="G51" s="7" t="n"/>
      <c r="H51" s="7" t="n"/>
      <c r="I51" s="9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50">
      <c r="A52" s="7" t="n"/>
      <c r="B52" s="7" t="n"/>
      <c r="C52" s="7" t="n"/>
      <c r="D52" s="7" t="n"/>
      <c r="E52" s="7" t="n"/>
      <c r="F52" s="7" t="n"/>
      <c r="G52" s="7" t="n"/>
      <c r="H52" s="7" t="n"/>
      <c r="I52" s="9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50">
      <c r="A53" s="7" t="n"/>
      <c r="B53" s="7" t="n"/>
      <c r="C53" s="7" t="n"/>
      <c r="D53" s="7" t="n"/>
      <c r="E53" s="7" t="n"/>
      <c r="F53" s="7" t="n"/>
      <c r="G53" s="7" t="n"/>
      <c r="H53" s="7" t="n"/>
      <c r="I53" s="9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50">
      <c r="A54" s="7" t="n"/>
      <c r="B54" s="7" t="n"/>
      <c r="C54" s="7" t="n"/>
      <c r="D54" s="7" t="n"/>
      <c r="E54" s="7" t="n"/>
      <c r="F54" s="7" t="n"/>
      <c r="G54" s="7" t="n"/>
      <c r="H54" s="7" t="n"/>
      <c r="I54" s="9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50">
      <c r="A55" s="7" t="n"/>
      <c r="B55" s="7" t="n"/>
      <c r="C55" s="7" t="n"/>
      <c r="D55" s="7" t="n"/>
      <c r="E55" s="7" t="n"/>
      <c r="F55" s="7" t="n"/>
      <c r="G55" s="7" t="n"/>
      <c r="H55" s="7" t="n"/>
      <c r="I55" s="9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50">
      <c r="A56" s="7" t="n"/>
      <c r="B56" s="7" t="n"/>
      <c r="C56" s="7" t="n"/>
      <c r="D56" s="7" t="n"/>
      <c r="E56" s="7" t="n"/>
      <c r="F56" s="7" t="n"/>
      <c r="G56" s="7" t="n"/>
      <c r="H56" s="7" t="n"/>
      <c r="I56" s="9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50">
      <c r="A57" s="7" t="n"/>
      <c r="B57" s="7" t="n"/>
      <c r="C57" s="7" t="n"/>
      <c r="D57" s="7" t="n"/>
      <c r="E57" s="7" t="n"/>
      <c r="F57" s="7" t="n"/>
      <c r="G57" s="7" t="n"/>
      <c r="H57" s="7" t="n"/>
      <c r="I57" s="9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50">
      <c r="A58" s="7" t="n"/>
      <c r="B58" s="7" t="n"/>
      <c r="C58" s="7" t="n"/>
      <c r="D58" s="7" t="n"/>
      <c r="E58" s="7" t="n"/>
      <c r="F58" s="7" t="n"/>
      <c r="G58" s="7" t="n"/>
      <c r="H58" s="7" t="n"/>
      <c r="I58" s="9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50">
      <c r="A59" s="7" t="n"/>
      <c r="B59" s="7" t="n"/>
      <c r="C59" s="7" t="n"/>
      <c r="D59" s="7" t="n"/>
      <c r="E59" s="7" t="n"/>
      <c r="F59" s="7" t="n"/>
      <c r="G59" s="7" t="n"/>
      <c r="H59" s="7" t="n"/>
      <c r="I59" s="9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50">
      <c r="A60" s="7" t="n"/>
      <c r="B60" s="7" t="n"/>
      <c r="C60" s="7" t="n"/>
      <c r="D60" s="7" t="n"/>
      <c r="E60" s="7" t="n"/>
      <c r="F60" s="7" t="n"/>
      <c r="G60" s="7" t="n"/>
      <c r="H60" s="7" t="n"/>
      <c r="I60" s="9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50">
      <c r="A61" s="7" t="n"/>
      <c r="B61" s="7" t="n"/>
      <c r="C61" s="7" t="n"/>
      <c r="D61" s="7" t="n"/>
      <c r="E61" s="7" t="n"/>
      <c r="F61" s="7" t="n"/>
      <c r="G61" s="7" t="n"/>
      <c r="H61" s="7" t="n"/>
      <c r="I61" s="9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50">
      <c r="A62" s="7" t="n"/>
      <c r="B62" s="7" t="n"/>
      <c r="C62" s="7" t="n"/>
      <c r="D62" s="7" t="n"/>
      <c r="E62" s="7" t="n"/>
      <c r="F62" s="7" t="n"/>
      <c r="G62" s="7" t="n"/>
      <c r="H62" s="7" t="n"/>
      <c r="I62" s="9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50">
      <c r="A63" s="7" t="n"/>
      <c r="B63" s="7" t="n"/>
      <c r="C63" s="7" t="n"/>
      <c r="D63" s="7" t="n"/>
      <c r="E63" s="7" t="n"/>
      <c r="F63" s="7" t="n"/>
      <c r="G63" s="7" t="n"/>
      <c r="H63" s="7" t="n"/>
      <c r="I63" s="9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50">
      <c r="A64" s="7" t="n"/>
      <c r="B64" s="7" t="n"/>
      <c r="C64" s="7" t="n"/>
      <c r="D64" s="7" t="n"/>
      <c r="E64" s="7" t="n"/>
      <c r="F64" s="7" t="n"/>
      <c r="G64" s="7" t="n"/>
      <c r="H64" s="7" t="n"/>
      <c r="I64" s="9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50">
      <c r="A65" s="7" t="n"/>
      <c r="B65" s="7" t="n"/>
      <c r="C65" s="7" t="n"/>
      <c r="D65" s="7" t="n"/>
      <c r="E65" s="7" t="n"/>
      <c r="F65" s="7" t="n"/>
      <c r="G65" s="7" t="n"/>
      <c r="H65" s="7" t="n"/>
      <c r="I65" s="9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50">
      <c r="A66" s="7" t="n"/>
      <c r="B66" s="7" t="n"/>
      <c r="C66" s="7" t="n"/>
      <c r="D66" s="7" t="n"/>
      <c r="E66" s="7" t="n"/>
      <c r="F66" s="7" t="n"/>
      <c r="G66" s="7" t="n"/>
      <c r="H66" s="7" t="n"/>
      <c r="I66" s="9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50">
      <c r="A67" s="7" t="n"/>
      <c r="B67" s="7" t="n"/>
      <c r="C67" s="7" t="n"/>
      <c r="D67" s="7" t="n"/>
      <c r="E67" s="7" t="n"/>
      <c r="F67" s="7" t="n"/>
      <c r="G67" s="7" t="n"/>
      <c r="H67" s="7" t="n"/>
      <c r="I67" s="9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50">
      <c r="A68" s="7" t="n"/>
      <c r="B68" s="7" t="n"/>
      <c r="C68" s="7" t="n"/>
      <c r="D68" s="7" t="n"/>
      <c r="E68" s="7" t="n"/>
      <c r="F68" s="7" t="n"/>
      <c r="G68" s="7" t="n"/>
      <c r="H68" s="7" t="n"/>
      <c r="I68" s="9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50">
      <c r="A69" s="7" t="n"/>
      <c r="B69" s="7" t="n"/>
      <c r="C69" s="7" t="n"/>
      <c r="D69" s="7" t="n"/>
      <c r="E69" s="7" t="n"/>
      <c r="F69" s="7" t="n"/>
      <c r="G69" s="7" t="n"/>
      <c r="H69" s="7" t="n"/>
      <c r="I69" s="9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50">
      <c r="A70" s="7" t="n"/>
      <c r="B70" s="7" t="n"/>
      <c r="C70" s="7" t="n"/>
      <c r="D70" s="7" t="n"/>
      <c r="E70" s="7" t="n"/>
      <c r="F70" s="7" t="n"/>
      <c r="G70" s="7" t="n"/>
      <c r="H70" s="7" t="n"/>
      <c r="I70" s="9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50">
      <c r="A71" s="7" t="n"/>
      <c r="B71" s="7" t="n"/>
      <c r="C71" s="7" t="n"/>
      <c r="D71" s="7" t="n"/>
      <c r="E71" s="7" t="n"/>
      <c r="F71" s="7" t="n"/>
      <c r="G71" s="7" t="n"/>
      <c r="H71" s="7" t="n"/>
      <c r="I71" s="9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50">
      <c r="A72" s="7" t="n"/>
      <c r="B72" s="7" t="n"/>
      <c r="C72" s="7" t="n"/>
      <c r="D72" s="7" t="n"/>
      <c r="E72" s="7" t="n"/>
      <c r="F72" s="7" t="n"/>
      <c r="G72" s="7" t="n"/>
      <c r="H72" s="7" t="n"/>
      <c r="I72" s="9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50">
      <c r="A73" s="7" t="n"/>
      <c r="B73" s="7" t="n"/>
      <c r="C73" s="7" t="n"/>
      <c r="D73" s="7" t="n"/>
      <c r="E73" s="7" t="n"/>
      <c r="F73" s="7" t="n"/>
      <c r="G73" s="7" t="n"/>
      <c r="H73" s="7" t="n"/>
      <c r="I73" s="9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50">
      <c r="A74" s="7" t="n"/>
      <c r="B74" s="7" t="n"/>
      <c r="C74" s="7" t="n"/>
      <c r="D74" s="7" t="n"/>
      <c r="E74" s="7" t="n"/>
      <c r="F74" s="7" t="n"/>
      <c r="G74" s="7" t="n"/>
      <c r="H74" s="7" t="n"/>
      <c r="I74" s="9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50">
      <c r="A75" s="7" t="n"/>
      <c r="B75" s="7" t="n"/>
      <c r="C75" s="7" t="n"/>
      <c r="D75" s="7" t="n"/>
      <c r="E75" s="7" t="n"/>
      <c r="F75" s="7" t="n"/>
      <c r="G75" s="7" t="n"/>
      <c r="H75" s="7" t="n"/>
      <c r="I75" s="9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50">
      <c r="A76" s="7" t="n"/>
      <c r="B76" s="7" t="n"/>
      <c r="C76" s="7" t="n"/>
      <c r="D76" s="7" t="n"/>
      <c r="E76" s="7" t="n"/>
      <c r="F76" s="7" t="n"/>
      <c r="G76" s="7" t="n"/>
      <c r="H76" s="7" t="n"/>
      <c r="I76" s="9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50">
      <c r="A77" s="7" t="n"/>
      <c r="B77" s="7" t="n"/>
      <c r="C77" s="7" t="n"/>
      <c r="D77" s="7" t="n"/>
      <c r="E77" s="7" t="n"/>
      <c r="F77" s="7" t="n"/>
      <c r="G77" s="7" t="n"/>
      <c r="H77" s="7" t="n"/>
      <c r="I77" s="9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50">
      <c r="A78" s="7" t="n"/>
      <c r="B78" s="7" t="n"/>
      <c r="C78" s="7" t="n"/>
      <c r="D78" s="7" t="n"/>
      <c r="E78" s="7" t="n"/>
      <c r="F78" s="7" t="n"/>
      <c r="G78" s="7" t="n"/>
      <c r="H78" s="7" t="n"/>
      <c r="I78" s="9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50">
      <c r="A79" s="7" t="n"/>
      <c r="B79" s="7" t="n"/>
      <c r="C79" s="7" t="n"/>
      <c r="D79" s="7" t="n"/>
      <c r="E79" s="7" t="n"/>
      <c r="F79" s="7" t="n"/>
      <c r="G79" s="7" t="n"/>
      <c r="H79" s="7" t="n"/>
      <c r="I79" s="9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50">
      <c r="A80" s="7" t="n"/>
      <c r="B80" s="7" t="n"/>
      <c r="C80" s="7" t="n"/>
      <c r="D80" s="7" t="n"/>
      <c r="E80" s="7" t="n"/>
      <c r="F80" s="7" t="n"/>
      <c r="G80" s="7" t="n"/>
      <c r="H80" s="7" t="n"/>
      <c r="I80" s="9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50">
      <c r="A81" s="7" t="n"/>
      <c r="B81" s="7" t="n"/>
      <c r="C81" s="7" t="n"/>
      <c r="D81" s="7" t="n"/>
      <c r="E81" s="7" t="n"/>
      <c r="F81" s="7" t="n"/>
      <c r="G81" s="7" t="n"/>
      <c r="H81" s="7" t="n"/>
      <c r="I81" s="9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50">
      <c r="A82" s="7" t="n"/>
      <c r="B82" s="7" t="n"/>
      <c r="C82" s="7" t="n"/>
      <c r="D82" s="7" t="n"/>
      <c r="E82" s="7" t="n"/>
      <c r="F82" s="7" t="n"/>
      <c r="G82" s="7" t="n"/>
      <c r="H82" s="7" t="n"/>
      <c r="I82" s="9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50">
      <c r="A83" s="7" t="n"/>
      <c r="B83" s="7" t="n"/>
      <c r="C83" s="7" t="n"/>
      <c r="D83" s="7" t="n"/>
      <c r="E83" s="7" t="n"/>
      <c r="F83" s="7" t="n"/>
      <c r="G83" s="7" t="n"/>
      <c r="H83" s="7" t="n"/>
      <c r="I83" s="9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50">
      <c r="A84" s="7" t="n"/>
      <c r="B84" s="7" t="n"/>
      <c r="C84" s="7" t="n"/>
      <c r="D84" s="7" t="n"/>
      <c r="E84" s="7" t="n"/>
      <c r="F84" s="7" t="n"/>
      <c r="G84" s="7" t="n"/>
      <c r="H84" s="7" t="n"/>
      <c r="I84" s="9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50">
      <c r="A85" s="7" t="n"/>
      <c r="B85" s="7" t="n"/>
      <c r="C85" s="7" t="n"/>
      <c r="D85" s="7" t="n"/>
      <c r="E85" s="7" t="n"/>
      <c r="F85" s="7" t="n"/>
      <c r="G85" s="7" t="n"/>
      <c r="H85" s="7" t="n"/>
      <c r="I85" s="9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50">
      <c r="A86" s="7" t="n"/>
      <c r="B86" s="7" t="n"/>
      <c r="C86" s="7" t="n"/>
      <c r="D86" s="7" t="n"/>
      <c r="E86" s="7" t="n"/>
      <c r="F86" s="7" t="n"/>
      <c r="G86" s="7" t="n"/>
      <c r="H86" s="7" t="n"/>
      <c r="I86" s="9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50">
      <c r="A87" s="7" t="n"/>
      <c r="B87" s="7" t="n"/>
      <c r="C87" s="7" t="n"/>
      <c r="D87" s="7" t="n"/>
      <c r="E87" s="7" t="n"/>
      <c r="F87" s="7" t="n"/>
      <c r="G87" s="7" t="n"/>
      <c r="H87" s="7" t="n"/>
      <c r="I87" s="9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50">
      <c r="A88" s="7" t="n"/>
      <c r="B88" s="7" t="n"/>
      <c r="C88" s="7" t="n"/>
      <c r="D88" s="7" t="n"/>
      <c r="E88" s="7" t="n"/>
      <c r="F88" s="7" t="n"/>
      <c r="G88" s="7" t="n"/>
      <c r="H88" s="7" t="n"/>
      <c r="I88" s="9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50">
      <c r="A89" s="7" t="n"/>
      <c r="B89" s="7" t="n"/>
      <c r="C89" s="7" t="n"/>
      <c r="D89" s="7" t="n"/>
      <c r="E89" s="7" t="n"/>
      <c r="F89" s="7" t="n"/>
      <c r="G89" s="7" t="n"/>
      <c r="H89" s="7" t="n"/>
      <c r="I89" s="9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50">
      <c r="A90" s="7" t="n"/>
      <c r="B90" s="7" t="n"/>
      <c r="C90" s="7" t="n"/>
      <c r="D90" s="7" t="n"/>
      <c r="E90" s="7" t="n"/>
      <c r="F90" s="7" t="n"/>
      <c r="G90" s="7" t="n"/>
      <c r="H90" s="7" t="n"/>
      <c r="I90" s="9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50">
      <c r="A91" s="7" t="n"/>
      <c r="B91" s="7" t="n"/>
      <c r="C91" s="7" t="n"/>
      <c r="D91" s="7" t="n"/>
      <c r="E91" s="7" t="n"/>
      <c r="F91" s="7" t="n"/>
      <c r="G91" s="7" t="n"/>
      <c r="H91" s="7" t="n"/>
      <c r="I91" s="9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50">
      <c r="A92" s="7" t="n"/>
      <c r="B92" s="7" t="n"/>
      <c r="C92" s="7" t="n"/>
      <c r="D92" s="7" t="n"/>
      <c r="E92" s="7" t="n"/>
      <c r="F92" s="7" t="n"/>
      <c r="G92" s="7" t="n"/>
      <c r="H92" s="7" t="n"/>
      <c r="I92" s="9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50">
      <c r="A93" s="7" t="n"/>
      <c r="B93" s="7" t="n"/>
      <c r="C93" s="7" t="n"/>
      <c r="D93" s="7" t="n"/>
      <c r="E93" s="7" t="n"/>
      <c r="F93" s="7" t="n"/>
      <c r="G93" s="7" t="n"/>
      <c r="H93" s="7" t="n"/>
      <c r="I93" s="9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50">
      <c r="A94" s="7" t="n"/>
      <c r="B94" s="7" t="n"/>
      <c r="C94" s="7" t="n"/>
      <c r="D94" s="7" t="n"/>
      <c r="E94" s="7" t="n"/>
      <c r="F94" s="7" t="n"/>
      <c r="G94" s="7" t="n"/>
      <c r="H94" s="7" t="n"/>
      <c r="I94" s="9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50">
      <c r="A95" s="7" t="n"/>
      <c r="B95" s="7" t="n"/>
      <c r="C95" s="7" t="n"/>
      <c r="D95" s="7" t="n"/>
      <c r="E95" s="7" t="n"/>
      <c r="F95" s="7" t="n"/>
      <c r="G95" s="7" t="n"/>
      <c r="H95" s="7" t="n"/>
      <c r="I95" s="9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50">
      <c r="A96" s="7" t="n"/>
      <c r="B96" s="7" t="n"/>
      <c r="C96" s="7" t="n"/>
      <c r="D96" s="7" t="n"/>
      <c r="E96" s="7" t="n"/>
      <c r="F96" s="7" t="n"/>
      <c r="G96" s="7" t="n"/>
      <c r="H96" s="7" t="n"/>
      <c r="I96" s="9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50">
      <c r="A97" s="7" t="n"/>
      <c r="B97" s="7" t="n"/>
      <c r="C97" s="7" t="n"/>
      <c r="D97" s="7" t="n"/>
      <c r="E97" s="7" t="n"/>
      <c r="F97" s="7" t="n"/>
      <c r="G97" s="7" t="n"/>
      <c r="H97" s="7" t="n"/>
      <c r="I97" s="9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50">
      <c r="A98" s="7" t="n"/>
      <c r="B98" s="7" t="n"/>
      <c r="C98" s="7" t="n"/>
      <c r="D98" s="7" t="n"/>
      <c r="E98" s="7" t="n"/>
      <c r="F98" s="7" t="n"/>
      <c r="G98" s="7" t="n"/>
      <c r="H98" s="7" t="n"/>
      <c r="I98" s="9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50">
      <c r="A99" s="7" t="n"/>
      <c r="B99" s="7" t="n"/>
      <c r="C99" s="7" t="n"/>
      <c r="D99" s="7" t="n"/>
      <c r="E99" s="7" t="n"/>
      <c r="F99" s="7" t="n"/>
      <c r="G99" s="7" t="n"/>
      <c r="H99" s="7" t="n"/>
      <c r="I99" s="9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5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9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50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9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5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9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50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9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5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9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50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9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5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9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50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9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5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9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50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9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5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9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50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9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5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9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50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9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5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9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50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9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5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9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50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9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5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9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50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9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5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9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50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9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5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9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50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9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5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9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50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9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5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9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50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9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5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9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50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9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5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9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50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9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5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9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50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9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5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9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50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9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5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9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50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9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5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9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50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9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5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9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50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9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5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9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50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9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5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9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50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9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5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9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50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9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5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9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50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9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9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50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9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5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9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50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9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5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9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50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9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5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9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50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9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5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9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50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9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5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9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50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9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5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9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50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9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5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9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50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9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5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9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50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9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5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9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50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9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5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9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50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9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5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9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50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9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5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9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50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9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5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9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50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9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5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9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50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9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5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9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50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9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5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9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50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9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5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9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50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9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5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9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50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9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5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9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50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9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5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9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50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9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5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9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50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9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5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9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50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9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5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9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50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9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5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9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50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9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5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9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50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9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5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9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50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9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50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9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50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9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50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9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50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9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50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9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50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9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5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9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50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9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50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9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50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9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50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9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50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9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50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9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50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9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50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9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50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9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5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9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50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9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50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9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50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9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50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9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50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9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50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9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50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9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50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9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50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9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5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9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50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9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50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9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50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9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50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9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50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9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50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9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50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9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50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9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50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9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5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9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50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9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50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9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50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9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50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9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50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9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50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9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50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9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50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9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50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9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9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50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9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50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9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50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9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50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9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50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9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50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9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50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9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50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9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50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9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5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9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50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9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50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9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50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9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50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9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50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9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50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9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50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9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50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9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50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9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5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9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50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9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50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9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50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9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50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9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50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9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50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9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50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9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50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9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50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9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5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9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50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9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50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9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50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9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50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9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50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9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50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9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50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9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50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9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50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9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5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9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50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9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50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9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50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9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50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9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50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9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50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9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50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9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50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9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50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9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5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9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50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9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50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9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50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9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50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9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50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9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50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9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50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9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50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9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50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9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5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9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50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9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50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9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50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9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50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9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50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9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50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9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50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9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50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9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50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9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5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9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50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9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50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9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50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9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50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9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50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9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50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9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50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9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50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9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50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9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5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9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50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9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50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9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50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9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50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9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50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9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50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9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50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9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50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9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50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9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5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9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50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9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50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9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50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9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50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9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50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9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50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9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50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9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50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9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50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9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9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50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9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50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9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50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9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50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9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50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9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50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9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50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9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50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9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50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9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5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9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50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9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50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9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50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9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50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9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50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9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50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9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50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9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50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9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50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9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5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9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50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9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50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9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50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9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50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9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50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9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50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9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50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9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50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9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50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9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5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9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50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9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50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9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50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9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50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9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50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9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50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9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50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9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50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9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50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9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5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9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50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9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50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9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50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9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50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9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50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9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50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9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50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9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50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9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50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9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5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9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50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9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50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9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50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9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50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9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50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9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50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9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50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9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50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9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50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9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5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9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50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9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50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9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50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9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50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9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50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9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50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9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50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9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50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9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50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9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5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9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50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9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50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9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50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9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50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9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50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9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50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9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50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9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50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9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50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9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5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9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50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9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50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9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50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9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50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9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50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9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50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9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50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9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50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9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50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9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5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9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50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9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50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9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50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9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50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9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50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9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50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9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50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9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50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9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50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9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9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50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9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50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9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50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9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50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9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50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9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50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9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50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9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50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9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50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9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5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9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50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9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50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9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50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9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50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9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50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9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50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9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50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9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50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9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50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9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5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9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50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9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50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9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50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9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50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9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50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9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50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9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50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9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50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9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50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9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5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9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50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9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50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9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50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9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50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9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50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9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50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9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50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9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50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9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50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9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5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9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50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9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50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9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50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9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50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9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50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9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50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9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50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9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50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9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50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9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5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9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50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9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50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9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50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9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50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9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50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9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50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9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50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9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50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9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50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9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5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9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50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9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50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9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50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9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50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9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50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9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50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9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50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9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50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9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50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9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5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9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50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9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50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9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50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9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50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9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50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9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50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9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50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9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50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9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50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9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5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9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50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9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50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9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50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9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50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9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50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9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50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9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50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9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50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9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50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9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5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9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50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9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50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9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50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9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50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9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50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9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50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9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50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9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50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9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50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9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9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50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9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50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9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50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9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50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9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50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9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50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9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50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9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50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9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50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9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5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9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50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9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50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9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50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9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50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9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50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9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50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9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50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9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50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9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50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9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5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9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50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9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50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9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50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9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50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9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50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9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50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9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50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9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50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9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50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9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5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9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50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9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50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9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50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9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50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9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50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9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50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9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50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9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50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9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50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9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5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9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50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9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50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9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50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9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50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9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50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9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50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9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50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9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50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9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50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9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5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9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50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9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50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9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50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9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50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9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50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9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50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9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50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9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50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9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50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9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5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9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50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9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50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9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50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9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50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9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50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9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50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9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50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9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50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9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50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9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5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9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50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9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50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9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50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9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50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9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50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9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50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9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50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9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50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9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50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9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5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9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50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9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50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9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50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9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50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9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50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9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50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9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50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9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50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9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50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9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5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9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50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9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50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9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50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9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50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9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50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9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50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9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50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9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50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9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50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9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9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50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9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50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9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50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9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50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9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50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9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50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9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50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9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50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9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50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9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5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9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50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9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50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9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50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9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50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9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50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9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50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9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50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9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50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9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50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9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5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9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50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9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50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9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50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9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50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9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50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9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50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9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50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9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50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9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50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9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5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9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50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9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50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9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50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9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50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9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50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9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50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9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50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9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50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9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50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9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5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9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50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9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50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9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50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9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50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9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50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9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50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9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50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9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50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9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50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9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5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9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50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9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50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9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50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9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50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9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50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9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50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9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50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9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50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9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50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9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5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9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50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9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50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9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50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9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50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9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50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9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50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9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50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9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50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9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50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9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5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9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50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9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50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9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50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9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50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9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50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9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50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9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50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9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50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9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50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9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5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9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50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9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50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9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50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9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50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9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50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9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50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9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50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9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50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9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50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9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5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9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50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9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50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9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50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9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50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9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50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9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50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9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50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9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50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9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50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9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9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50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9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50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9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50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9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50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9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50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9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50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9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50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9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50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9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50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9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5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9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50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9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50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9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50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9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50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9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50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9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50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9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50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9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50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9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50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9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5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9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50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9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50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9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50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9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50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9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50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9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50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9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50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9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50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9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50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9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5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9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50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9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50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9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50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9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50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9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50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9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50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9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50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9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50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9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50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9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5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9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50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9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50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9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50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9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50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9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50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9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50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9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50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9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50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9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50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9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5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9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50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9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50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9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50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9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50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9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50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9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50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9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50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9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50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9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50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9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5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9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50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9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50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9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50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9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50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9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50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9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50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9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50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9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50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9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50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9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5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9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50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9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50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9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50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9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50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9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50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9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50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9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50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9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50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9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50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9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5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9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50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9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50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9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50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9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50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9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50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9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50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9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50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9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50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9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50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9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5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9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50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9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50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9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50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9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50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9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50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9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50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9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50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9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50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9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50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9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9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50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9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50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9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50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9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50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9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50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9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50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9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50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9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50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9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50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9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5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9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50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9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50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9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50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9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50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9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50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9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50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9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50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9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50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9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50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9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5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9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50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9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50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9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50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9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50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9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50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9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50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9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50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9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50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9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50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9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5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9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50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9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50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9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50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9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50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9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50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9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50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9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50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9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50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9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50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9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5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9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50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9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50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9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50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9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50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9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50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9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50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9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50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9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50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9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50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9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5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9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50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9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50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9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50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9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50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9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50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9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50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9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50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9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50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9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50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9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5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9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50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9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50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9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50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9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50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9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50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9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50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9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50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9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50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9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50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9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5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9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50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9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50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9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50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9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50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9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50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9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50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9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50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9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50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9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50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9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5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9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50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9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50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9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50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9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50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9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50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9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50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9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50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9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50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9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50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9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5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9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50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9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50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9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50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9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50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9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50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9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50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9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50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9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50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9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50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9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9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50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9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50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9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50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9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50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9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50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9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50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9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50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9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50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9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50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9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5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9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50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9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50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9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50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9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50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9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50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9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50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9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50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9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50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9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50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9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5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9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50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9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50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9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50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9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50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9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50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9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50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9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50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9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50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9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50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9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5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9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50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9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50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9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50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9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50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9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50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9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50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9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50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9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50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9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50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9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5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9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50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9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50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9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50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9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50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9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50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9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50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9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50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9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50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9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50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9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5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9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5">
    <mergeCell ref="F6:H6"/>
    <mergeCell ref="F5:H5"/>
    <mergeCell ref="B4:H4"/>
    <mergeCell ref="B2:H2"/>
    <mergeCell ref="B3:H3"/>
  </mergeCells>
  <pageMargins left="0.7" right="0.7" top="0.75" bottom="0.75" header="0.511811023622047" footer="0.511811023622047"/>
  <pageSetup orientation="landscape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zoomScaleNormal="100" workbookViewId="0">
      <pane ySplit="8" topLeftCell="A15" activePane="bottomLeft" state="frozen"/>
      <selection pane="bottomLeft" activeCell="A1" sqref="A1"/>
    </sheetView>
  </sheetViews>
  <sheetFormatPr baseColWidth="8" defaultColWidth="14.453125" defaultRowHeight="14.5"/>
  <cols>
    <col width="13.1796875" customWidth="1" style="150" min="1" max="1"/>
    <col width="21.81640625" customWidth="1" style="150" min="2" max="2"/>
    <col width="29.26953125" customWidth="1" style="150" min="3" max="3"/>
    <col width="34.453125" customWidth="1" style="150" min="4" max="4"/>
    <col width="19.26953125" customWidth="1" style="150" min="5" max="5"/>
    <col width="13.54296875" customWidth="1" style="150" min="6" max="6"/>
    <col width="10.26953125" customWidth="1" style="150" min="7" max="7"/>
    <col width="20.1796875" customWidth="1" style="150" min="8" max="8"/>
    <col width="9.453125" customWidth="1" style="150" min="9" max="9"/>
    <col hidden="1" width="7.54296875" customWidth="1" style="150" min="10" max="10"/>
    <col width="10.26953125" customWidth="1" style="150" min="11" max="11"/>
    <col width="9.1796875" customWidth="1" style="150" min="12" max="26"/>
  </cols>
  <sheetData>
    <row r="1" ht="13.5" customHeight="1" s="150">
      <c r="A1" s="71" t="n"/>
      <c r="B1" s="72" t="n"/>
      <c r="C1" s="72" t="n"/>
      <c r="D1" s="72" t="n"/>
      <c r="E1" s="72" t="n"/>
      <c r="F1" s="73" t="n"/>
      <c r="G1" s="74" t="n"/>
      <c r="H1" s="32" t="n"/>
      <c r="I1" s="75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 ht="15" customHeight="1" s="150">
      <c r="A2" s="77" t="inlineStr">
        <is>
          <t>Module Code</t>
        </is>
      </c>
      <c r="B2" s="147" t="inlineStr">
        <is>
          <t>Reply</t>
        </is>
      </c>
      <c r="C2" s="130" t="n"/>
      <c r="D2" s="130" t="n"/>
      <c r="E2" s="130" t="n"/>
      <c r="F2" s="130" t="n"/>
      <c r="G2" s="130" t="n"/>
      <c r="H2" s="131" t="n"/>
      <c r="I2" s="75" t="n"/>
      <c r="J2" s="76" t="inlineStr">
        <is>
          <t>Passed</t>
        </is>
      </c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25.5" customHeight="1" s="150">
      <c r="A3" s="78" t="inlineStr">
        <is>
          <t>Test requirement</t>
        </is>
      </c>
      <c r="B3" s="147" t="inlineStr">
        <is>
          <t>Trả lời thư (Reply)</t>
        </is>
      </c>
      <c r="C3" s="130" t="n"/>
      <c r="D3" s="130" t="n"/>
      <c r="E3" s="130" t="n"/>
      <c r="F3" s="130" t="n"/>
      <c r="G3" s="130" t="n"/>
      <c r="H3" s="131" t="n"/>
      <c r="I3" s="75" t="n"/>
      <c r="J3" s="76" t="inlineStr">
        <is>
          <t>Failed</t>
        </is>
      </c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 ht="18" customHeight="1" s="150">
      <c r="A4" s="77" t="inlineStr">
        <is>
          <t>Tester</t>
        </is>
      </c>
      <c r="B4" s="147" t="inlineStr">
        <is>
          <t>Trương Trọng Nhân</t>
        </is>
      </c>
      <c r="C4" s="130" t="n"/>
      <c r="D4" s="130" t="n"/>
      <c r="E4" s="130" t="n"/>
      <c r="F4" s="130" t="n"/>
      <c r="G4" s="130" t="n"/>
      <c r="H4" s="131" t="n"/>
      <c r="I4" s="75" t="n"/>
      <c r="J4" s="76" t="inlineStr">
        <is>
          <t>Blocked</t>
        </is>
      </c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 ht="19.5" customHeight="1" s="150">
      <c r="A5" s="79" t="inlineStr">
        <is>
          <t>Passed</t>
        </is>
      </c>
      <c r="B5" s="146" t="inlineStr">
        <is>
          <t>Failed</t>
        </is>
      </c>
      <c r="C5" s="146" t="inlineStr">
        <is>
          <t>Untested</t>
        </is>
      </c>
      <c r="D5" s="146" t="inlineStr">
        <is>
          <t>Blocked</t>
        </is>
      </c>
      <c r="E5" s="80" t="inlineStr">
        <is>
          <t>Skipped</t>
        </is>
      </c>
      <c r="F5" s="146" t="inlineStr">
        <is>
          <t>Number of Test cases</t>
        </is>
      </c>
      <c r="G5" s="130" t="n"/>
      <c r="H5" s="131" t="n"/>
      <c r="I5" s="81" t="n"/>
      <c r="J5" s="76" t="inlineStr">
        <is>
          <t>Untested</t>
        </is>
      </c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 ht="15" customHeight="1" s="150">
      <c r="A6" s="82">
        <f>COUNTIF(F9:F996,"Passed")</f>
        <v/>
      </c>
      <c r="B6" s="83">
        <f>COUNTIF(F9:F996,"Failed")</f>
        <v/>
      </c>
      <c r="C6" s="83">
        <f>F6-E6-D6-B6-A6</f>
        <v/>
      </c>
      <c r="D6" s="83">
        <f>COUNTIF(F$9:F$996,"Blocked")</f>
        <v/>
      </c>
      <c r="E6" s="84">
        <f>COUNTIF(F$9:F$996,"Skipped")</f>
        <v/>
      </c>
      <c r="F6" s="145">
        <f>COUNTA(A9:A996)</f>
        <v/>
      </c>
      <c r="G6" s="130" t="n"/>
      <c r="H6" s="131" t="n"/>
      <c r="I6" s="81" t="n"/>
      <c r="J6" s="76" t="inlineStr">
        <is>
          <t>Skipped</t>
        </is>
      </c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 ht="15" customHeight="1" s="150">
      <c r="A7" s="76" t="n"/>
      <c r="B7" s="76" t="n"/>
      <c r="C7" s="76" t="n"/>
      <c r="D7" s="85" t="n"/>
      <c r="E7" s="85" t="n"/>
      <c r="F7" s="85" t="n"/>
      <c r="G7" s="85" t="n"/>
      <c r="H7" s="85" t="n"/>
      <c r="I7" s="81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 ht="25.5" customHeight="1" s="150">
      <c r="A8" s="86" t="inlineStr">
        <is>
          <t>ID</t>
        </is>
      </c>
      <c r="B8" s="86" t="inlineStr">
        <is>
          <t>Test Case Description</t>
        </is>
      </c>
      <c r="C8" s="86" t="inlineStr">
        <is>
          <t>Test Case Procedure</t>
        </is>
      </c>
      <c r="D8" s="86" t="inlineStr">
        <is>
          <t>Expected Output</t>
        </is>
      </c>
      <c r="E8" s="87" t="inlineStr">
        <is>
          <t>Inter-test case Dependence</t>
        </is>
      </c>
      <c r="F8" s="87" t="inlineStr">
        <is>
          <t>Result</t>
        </is>
      </c>
      <c r="G8" s="87" t="inlineStr">
        <is>
          <t>Test date</t>
        </is>
      </c>
      <c r="H8" s="86" t="inlineStr">
        <is>
          <t>Note</t>
        </is>
      </c>
      <c r="I8" s="88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 ht="94.5" customHeight="1" s="150">
      <c r="A9" s="89">
        <f>IF(OR(B9&lt;&gt;"",D9&lt;&gt;""),"["&amp;TEXT($B$2,"##")&amp;"-"&amp;TEXT(ROW()-8,"##")&amp;"]","")</f>
        <v/>
      </c>
      <c r="B9" s="90" t="inlineStr">
        <is>
          <t>Kiểm tra hiển thị khung Trả lời (Reply)</t>
        </is>
      </c>
      <c r="C9" s="90" t="inlineStr">
        <is>
          <t>Điều kiện tiên quyết:
+ Mở xem chi tiết 1 email trong Hộp thư đến
Các bước thực hiện:
1. Nhấp nút [Trả lời] (Reply) ở cuối nội dung thư</t>
        </is>
      </c>
      <c r="D9" s="90" t="inlineStr">
        <is>
          <t>1. Khung soạn thảo trả lời mở ra ngay bên dưới thư; trường [Đến] (To) tự động điền sẵn địa chỉ của người gửi gốc.</t>
        </is>
      </c>
      <c r="E9" s="91" t="n"/>
      <c r="F9" s="89" t="inlineStr">
        <is>
          <t>Untested</t>
        </is>
      </c>
      <c r="G9" s="92" t="n"/>
      <c r="H9" s="93" t="n"/>
      <c r="I9" s="94" t="n"/>
      <c r="J9" s="95" t="n"/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  <c r="X9" s="95" t="n"/>
      <c r="Y9" s="95" t="n"/>
      <c r="Z9" s="95" t="n"/>
    </row>
    <row r="10" ht="67.5" customHeight="1" s="150">
      <c r="A10" s="89">
        <f>IF(OR(B10&lt;&gt;"",D10&lt;&gt;""),"["&amp;TEXT($B$2,"##")&amp;"-"&amp;TEXT(ROW()-8,"##")&amp;"]","")</f>
        <v/>
      </c>
      <c r="B10" s="90" t="inlineStr">
        <is>
          <t>Gửi thư trả lời với nội dung hợp lệ</t>
        </is>
      </c>
      <c r="C10" s="90" t="inlineStr">
        <is>
          <t>Các bước thực hiện:
1. Trong khung Trả lời, nhập ["Cảm ơn, mình đã nhận được thông tin!"] vào nội dung
2. Nhấp nút [Gửi] (Send)</t>
        </is>
      </c>
      <c r="D10" s="90" t="inlineStr">
        <is>
          <t>2. Hiển thị thông báo "Đã gửi thư" ở góc trái dưới; thư trả lời xuất hiện nối tiếp vào luồng hội thoại hiện tại.</t>
        </is>
      </c>
      <c r="E10" s="91" t="inlineStr">
        <is>
          <t>Reply-1</t>
        </is>
      </c>
      <c r="F10" s="89" t="inlineStr">
        <is>
          <t>Untested</t>
        </is>
      </c>
      <c r="G10" s="92" t="n"/>
      <c r="H10" s="93" t="n"/>
      <c r="I10" s="94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</row>
    <row r="11" ht="81" customHeight="1" s="150">
      <c r="A11" s="89">
        <f>IF(OR(B11&lt;&gt;"",D11&lt;&gt;""),"["&amp;TEXT($B$2,"##")&amp;"-"&amp;TEXT(ROW()-8,"##")&amp;"]","")</f>
        <v/>
      </c>
      <c r="B11" s="90" t="inlineStr">
        <is>
          <t>Gửi thư trả lời có thêm người nhận CC/BCC</t>
        </is>
      </c>
      <c r="C11" s="90" t="inlineStr">
        <is>
          <t>Các bước thực hiện:
1. Nhấp nút [Trả lời]
2. Nhấp mở [Cc] và [Bcc], nhập địa chỉ email hợp lệ
3. Nhập nội dung và nhấp nút [Gửi]</t>
        </is>
      </c>
      <c r="D11" s="90" t="inlineStr">
        <is>
          <t>3. Thư trả lời được gửi thành công đến người gửi gốc cùng các địa chỉ trong CC và BCC.</t>
        </is>
      </c>
      <c r="E11" s="91" t="n"/>
      <c r="F11" s="89" t="inlineStr">
        <is>
          <t>Untested</t>
        </is>
      </c>
      <c r="G11" s="92" t="n"/>
      <c r="H11" s="93" t="n"/>
      <c r="I11" s="94" t="n"/>
      <c r="J11" s="95" t="n"/>
      <c r="K11" s="95" t="n"/>
      <c r="L11" s="95" t="n"/>
      <c r="M11" s="95" t="n"/>
      <c r="N11" s="95" t="n"/>
      <c r="O11" s="95" t="n"/>
      <c r="P11" s="95" t="n"/>
      <c r="Q11" s="95" t="n"/>
      <c r="R11" s="95" t="n"/>
      <c r="S11" s="95" t="n"/>
      <c r="T11" s="95" t="n"/>
      <c r="U11" s="95" t="n"/>
      <c r="V11" s="95" t="n"/>
      <c r="W11" s="95" t="n"/>
      <c r="X11" s="95" t="n"/>
      <c r="Y11" s="95" t="n"/>
      <c r="Z11" s="95" t="n"/>
    </row>
    <row r="12" ht="67.5" customHeight="1" s="150">
      <c r="A12" s="89">
        <f>IF(OR(B12&lt;&gt;"",D12&lt;&gt;""),"["&amp;TEXT($B$2,"##")&amp;"-"&amp;TEXT(ROW()-8,"##")&amp;"]","")</f>
        <v/>
      </c>
      <c r="B12" s="90" t="inlineStr">
        <is>
          <t>Gửi thư trả lời có đính kèm tệp từ máy tính</t>
        </is>
      </c>
      <c r="C12" s="90" t="inlineStr">
        <is>
          <t>Các bước thực hiện:
1. Nhấp nút [Trả lời]
2. Tải tệp ["tailieu.pdf"] lên thông qua chức năng Đính kèm tệp
3. Nhấp nút [Gửi]</t>
        </is>
      </c>
      <c r="D12" s="90" t="inlineStr">
        <is>
          <t>2. Tệp "tailieu.pdf" hiển thị hoàn tất trong khung trả lời.
3. Thư trả lời được gửi đi kèm theo tệp đính kèm.</t>
        </is>
      </c>
      <c r="E12" s="91" t="n"/>
      <c r="F12" s="89" t="inlineStr">
        <is>
          <t>Untested</t>
        </is>
      </c>
      <c r="G12" s="92" t="n"/>
      <c r="H12" s="93" t="n"/>
      <c r="I12" s="94" t="n"/>
      <c r="J12" s="95" t="n"/>
      <c r="K12" s="95" t="n"/>
      <c r="L12" s="95" t="n"/>
      <c r="M12" s="95" t="n"/>
      <c r="N12" s="95" t="n"/>
      <c r="O12" s="95" t="n"/>
      <c r="P12" s="95" t="n"/>
      <c r="Q12" s="95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</row>
    <row r="13" ht="108" customHeight="1" s="150">
      <c r="A13" s="89">
        <f>IF(OR(B13&lt;&gt;"",D13&lt;&gt;""),"["&amp;TEXT($B$2,"##")&amp;"-"&amp;TEXT(ROW()-8,"##")&amp;"]","")</f>
        <v/>
      </c>
      <c r="B13" s="90" t="inlineStr">
        <is>
          <t>Chỉnh sửa Tiêu đề thư khi trả lời</t>
        </is>
      </c>
      <c r="C13" s="90" t="inlineStr">
        <is>
          <t>Các bước thực hiện:
1. Nhấp nút [Trả lời]
2. Nhấp biểu tượng [Loại phản hồi] (góc trái trên khung trả lời) -&gt; Chọn [Chỉnh sửa chủ đề] (Edit subject)
3. Nhập tiêu đề mới ["Chủ đề thảo luận mới"] rồi nhấn [Gửi]</t>
        </is>
      </c>
      <c r="D13" s="90" t="inlineStr">
        <is>
          <t>2. Khung soạn thảo mở rộng cho phép sửa dòng Tiêu đề.
3. Thư được gửi đi và tách thành một luồng hội thoại (thread) mới độc lập.</t>
        </is>
      </c>
      <c r="E13" s="91" t="n"/>
      <c r="F13" s="89" t="inlineStr">
        <is>
          <t>Untested</t>
        </is>
      </c>
      <c r="G13" s="92" t="n"/>
      <c r="H13" s="93" t="n"/>
      <c r="I13" s="94" t="n"/>
      <c r="J13" s="95" t="n"/>
      <c r="K13" s="95" t="n"/>
      <c r="L13" s="95" t="n"/>
      <c r="M13" s="95" t="n"/>
      <c r="N13" s="95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  <c r="Y13" s="95" t="n"/>
      <c r="Z13" s="95" t="n"/>
    </row>
    <row r="14" ht="67.5" customHeight="1" s="150">
      <c r="A14" s="89">
        <f>IF(OR(B14&lt;&gt;"",D14&lt;&gt;""),"["&amp;TEXT($B$2,"##")&amp;"-"&amp;TEXT(ROW()-8,"##")&amp;"]","")</f>
        <v/>
      </c>
      <c r="B14" s="90" t="inlineStr">
        <is>
          <t>Nhấn [Gửi] trả lời khi xóa trống người nhận [Đến]</t>
        </is>
      </c>
      <c r="C14" s="90" t="inlineStr">
        <is>
          <t>Các bước thực hiện:
1. Nhấp nút [Trả lời]
2. Nhấp dấu [x] xóa bỏ người nhận trong ô [Đến]
3. Nhấp nút [Gửi]</t>
        </is>
      </c>
      <c r="D14" s="90" t="inlineStr">
        <is>
          <t>3. Hiển thị hộp thoại báo lỗi "Vui lòng chỉ định ít nhất một người nhận." (Please specify at least one recipient).</t>
        </is>
      </c>
      <c r="E14" s="91" t="n"/>
      <c r="F14" s="89" t="inlineStr">
        <is>
          <t>Untested</t>
        </is>
      </c>
      <c r="G14" s="92" t="n"/>
      <c r="H14" s="93" t="n"/>
      <c r="I14" s="94" t="n"/>
      <c r="J14" s="95" t="n"/>
      <c r="K14" s="95" t="n"/>
      <c r="L14" s="95" t="n"/>
      <c r="M14" s="95" t="n"/>
      <c r="N14" s="95" t="n"/>
      <c r="O14" s="95" t="n"/>
      <c r="P14" s="95" t="n"/>
      <c r="Q14" s="95" t="n"/>
      <c r="R14" s="95" t="n"/>
      <c r="S14" s="95" t="n"/>
      <c r="T14" s="95" t="n"/>
      <c r="U14" s="95" t="n"/>
      <c r="V14" s="95" t="n"/>
      <c r="W14" s="95" t="n"/>
      <c r="X14" s="95" t="n"/>
      <c r="Y14" s="95" t="n"/>
      <c r="Z14" s="95" t="n"/>
    </row>
    <row r="15" ht="81" customHeight="1" s="150">
      <c r="A15" s="89">
        <f>IF(OR(B15&lt;&gt;"",D15&lt;&gt;""),"["&amp;TEXT($B$2,"##")&amp;"-"&amp;TEXT(ROW()-8,"##")&amp;"]","")</f>
        <v/>
      </c>
      <c r="B15" s="90" t="inlineStr">
        <is>
          <t>Hủy bỏ thư nháp đang trả lời</t>
        </is>
      </c>
      <c r="C15" s="90" t="inlineStr">
        <is>
          <t>Các bước thực hiện:
1. Nhấp nút [Trả lời] và gõ ["Nội dung nháp"]
2. Nhấp biểu tượng [Hủy thư nháp] (hình thùng rác ở góc dưới bên phải khung trả lời)</t>
        </is>
      </c>
      <c r="D15" s="90" t="inlineStr">
        <is>
          <t>2. Khung soạn thảo trả lời đóng lại và bản nháp bị xóa bỏ.</t>
        </is>
      </c>
      <c r="E15" s="91" t="n"/>
      <c r="F15" s="89" t="inlineStr">
        <is>
          <t>Untested</t>
        </is>
      </c>
      <c r="G15" s="92" t="n"/>
      <c r="H15" s="93" t="n"/>
      <c r="I15" s="96" t="n"/>
      <c r="J15" s="76" t="n"/>
      <c r="K15" s="76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67.5" customHeight="1" s="150">
      <c r="A16" s="89">
        <f>IF(OR(B16&lt;&gt;"",D16&lt;&gt;""),"["&amp;TEXT($B$2,"##")&amp;"-"&amp;TEXT(ROW()-8,"##")&amp;"]","")</f>
        <v/>
      </c>
      <c r="B16" s="90" t="inlineStr">
        <is>
          <t>Gửi thư trả lời với nội dung rất dài</t>
        </is>
      </c>
      <c r="C16" s="90" t="inlineStr">
        <is>
          <t>Các bước thực hiện:
1. Nhấp nút [Trả lời]
2. Dán đoạn văn bản dài khoảng [5000 ký tự] vào khung nội dung
3. Nhấp nút [Gửi]</t>
        </is>
      </c>
      <c r="D16" s="90" t="inlineStr">
        <is>
          <t>3. Hiển thị thông báo "Đã gửi thư"; thư trả lời được gửi thành công và nội dung hiển thị đầy đủ, không bị cắt cụt.</t>
        </is>
      </c>
      <c r="E16" s="91" t="n"/>
      <c r="F16" s="89" t="inlineStr">
        <is>
          <t>Untested</t>
        </is>
      </c>
      <c r="G16" s="92" t="n"/>
      <c r="H16" s="93" t="n"/>
      <c r="I16" s="94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08" customHeight="1" s="150">
      <c r="A17" s="89">
        <f>IF(OR(B17&lt;&gt;"",D17&lt;&gt;""),"["&amp;TEXT($B$2,"##")&amp;"-"&amp;TEXT(ROW()-8,"##")&amp;"]","")</f>
        <v/>
      </c>
      <c r="B17" s="90" t="inlineStr">
        <is>
          <t>Gửi thư trả lời có chèn liên kết (Insert link)</t>
        </is>
      </c>
      <c r="C17" s="90" t="inlineStr">
        <is>
          <t>Các bước thực hiện:
1. Nhấp nút [Trả lời]
2. Nhập [Xem tại đây], bôi đen cụm từ rồi nhấp biểu tượng [Chèn đường liên kết] (Insert link)
3. Nhập địa chỉ ["https://www.google.com"] và nhấp [OK]
4. Nhấp nút [Gửi]</t>
        </is>
      </c>
      <c r="D17" s="90" t="inlineStr">
        <is>
          <t>3. Cụm từ được định dạng thành liên kết.
4. Thư được gửi thành công; trong thư đã gửi, cụm từ "Xem tại đây" nhấp được và dẫn đến "https://www.google.com".</t>
        </is>
      </c>
      <c r="E17" s="91" t="n"/>
      <c r="F17" s="89" t="inlineStr">
        <is>
          <t>Untested</t>
        </is>
      </c>
      <c r="G17" s="92" t="n"/>
      <c r="H17" s="93" t="n"/>
      <c r="I17" s="9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50">
      <c r="A18" s="7" t="n"/>
      <c r="B18" s="7" t="n"/>
      <c r="C18" s="7" t="n"/>
      <c r="D18" s="7" t="n"/>
      <c r="E18" s="7" t="n"/>
      <c r="F18" s="7" t="n"/>
      <c r="G18" s="7" t="n"/>
      <c r="H18" s="7" t="n"/>
      <c r="I18" s="9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50">
      <c r="A19" s="7" t="n"/>
      <c r="B19" s="7" t="n"/>
      <c r="C19" s="7" t="n"/>
      <c r="D19" s="7" t="n"/>
      <c r="E19" s="7" t="n"/>
      <c r="F19" s="7" t="n"/>
      <c r="G19" s="7" t="n"/>
      <c r="H19" s="7" t="n"/>
      <c r="I19" s="9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50">
      <c r="A20" s="7" t="n"/>
      <c r="B20" s="7" t="n"/>
      <c r="C20" s="7" t="n"/>
      <c r="D20" s="7" t="n"/>
      <c r="E20" s="7" t="n"/>
      <c r="F20" s="7" t="n"/>
      <c r="G20" s="7" t="n"/>
      <c r="H20" s="7" t="n"/>
      <c r="I20" s="9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50">
      <c r="A21" s="7" t="n"/>
      <c r="B21" s="7" t="n"/>
      <c r="C21" s="7" t="n"/>
      <c r="D21" s="7" t="n"/>
      <c r="E21" s="7" t="n"/>
      <c r="F21" s="7" t="n"/>
      <c r="G21" s="7" t="n"/>
      <c r="H21" s="7" t="n"/>
      <c r="I21" s="9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50">
      <c r="A22" s="7" t="n"/>
      <c r="B22" s="7" t="n"/>
      <c r="C22" s="7" t="n"/>
      <c r="D22" s="7" t="n"/>
      <c r="E22" s="7" t="n"/>
      <c r="F22" s="7" t="n"/>
      <c r="G22" s="7" t="n"/>
      <c r="H22" s="7" t="n"/>
      <c r="I22" s="9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50">
      <c r="A23" s="7" t="n"/>
      <c r="B23" s="7" t="n"/>
      <c r="C23" s="7" t="n"/>
      <c r="D23" s="7" t="n"/>
      <c r="E23" s="7" t="n"/>
      <c r="F23" s="7" t="n"/>
      <c r="G23" s="7" t="n"/>
      <c r="H23" s="7" t="n"/>
      <c r="I23" s="9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50">
      <c r="A24" s="7" t="n"/>
      <c r="B24" s="7" t="n"/>
      <c r="C24" s="7" t="n"/>
      <c r="D24" s="7" t="n"/>
      <c r="E24" s="7" t="n"/>
      <c r="F24" s="7" t="n"/>
      <c r="G24" s="7" t="n"/>
      <c r="H24" s="7" t="n"/>
      <c r="I24" s="9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50">
      <c r="A25" s="7" t="n"/>
      <c r="B25" s="7" t="n"/>
      <c r="C25" s="7" t="n"/>
      <c r="D25" s="7" t="n"/>
      <c r="E25" s="7" t="n"/>
      <c r="F25" s="7" t="n"/>
      <c r="G25" s="7" t="n"/>
      <c r="H25" s="7" t="n"/>
      <c r="I25" s="9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50">
      <c r="A26" s="7" t="n"/>
      <c r="B26" s="7" t="n"/>
      <c r="C26" s="7" t="n"/>
      <c r="D26" s="7" t="n"/>
      <c r="E26" s="7" t="n"/>
      <c r="F26" s="7" t="n"/>
      <c r="G26" s="7" t="n"/>
      <c r="H26" s="7" t="n"/>
      <c r="I26" s="9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50">
      <c r="A27" s="7" t="n"/>
      <c r="B27" s="7" t="n"/>
      <c r="C27" s="7" t="n"/>
      <c r="D27" s="7" t="n"/>
      <c r="E27" s="7" t="n"/>
      <c r="F27" s="7" t="n"/>
      <c r="G27" s="7" t="n"/>
      <c r="H27" s="7" t="n"/>
      <c r="I27" s="9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50">
      <c r="A28" s="7" t="n"/>
      <c r="B28" s="7" t="n"/>
      <c r="C28" s="7" t="n"/>
      <c r="D28" s="7" t="n"/>
      <c r="E28" s="7" t="n"/>
      <c r="F28" s="7" t="n"/>
      <c r="G28" s="7" t="n"/>
      <c r="H28" s="7" t="n"/>
      <c r="I28" s="9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50">
      <c r="A29" s="7" t="n"/>
      <c r="B29" s="7" t="n"/>
      <c r="C29" s="7" t="n"/>
      <c r="D29" s="7" t="n"/>
      <c r="E29" s="7" t="n"/>
      <c r="F29" s="7" t="n"/>
      <c r="G29" s="7" t="n"/>
      <c r="H29" s="7" t="n"/>
      <c r="I29" s="9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50">
      <c r="A30" s="7" t="n"/>
      <c r="B30" s="7" t="n"/>
      <c r="C30" s="7" t="n"/>
      <c r="D30" s="7" t="n"/>
      <c r="E30" s="7" t="n"/>
      <c r="F30" s="7" t="n"/>
      <c r="G30" s="7" t="n"/>
      <c r="H30" s="7" t="n"/>
      <c r="I30" s="9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50">
      <c r="A31" s="7" t="n"/>
      <c r="B31" s="7" t="n"/>
      <c r="C31" s="7" t="n"/>
      <c r="D31" s="7" t="n"/>
      <c r="E31" s="7" t="n"/>
      <c r="F31" s="7" t="n"/>
      <c r="G31" s="7" t="n"/>
      <c r="H31" s="7" t="n"/>
      <c r="I31" s="9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50">
      <c r="A32" s="7" t="n"/>
      <c r="B32" s="7" t="n"/>
      <c r="C32" s="7" t="n"/>
      <c r="D32" s="7" t="n"/>
      <c r="E32" s="7" t="n"/>
      <c r="F32" s="7" t="n"/>
      <c r="G32" s="7" t="n"/>
      <c r="H32" s="7" t="n"/>
      <c r="I32" s="9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50">
      <c r="A33" s="7" t="n"/>
      <c r="B33" s="7" t="n"/>
      <c r="C33" s="7" t="n"/>
      <c r="D33" s="7" t="n"/>
      <c r="E33" s="7" t="n"/>
      <c r="F33" s="7" t="n"/>
      <c r="G33" s="7" t="n"/>
      <c r="H33" s="7" t="n"/>
      <c r="I33" s="9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50">
      <c r="A34" s="7" t="n"/>
      <c r="B34" s="7" t="n"/>
      <c r="C34" s="7" t="n"/>
      <c r="D34" s="7" t="n"/>
      <c r="E34" s="7" t="n"/>
      <c r="F34" s="7" t="n"/>
      <c r="G34" s="7" t="n"/>
      <c r="H34" s="7" t="n"/>
      <c r="I34" s="9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50">
      <c r="A35" s="7" t="n"/>
      <c r="B35" s="7" t="n"/>
      <c r="C35" s="7" t="n"/>
      <c r="D35" s="7" t="n"/>
      <c r="E35" s="7" t="n"/>
      <c r="F35" s="7" t="n"/>
      <c r="G35" s="7" t="n"/>
      <c r="H35" s="7" t="n"/>
      <c r="I35" s="9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50">
      <c r="A36" s="7" t="n"/>
      <c r="B36" s="7" t="n"/>
      <c r="C36" s="7" t="n"/>
      <c r="D36" s="7" t="n"/>
      <c r="E36" s="7" t="n"/>
      <c r="F36" s="7" t="n"/>
      <c r="G36" s="7" t="n"/>
      <c r="H36" s="7" t="n"/>
      <c r="I36" s="9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50">
      <c r="A37" s="7" t="n"/>
      <c r="B37" s="7" t="n"/>
      <c r="C37" s="7" t="n"/>
      <c r="D37" s="7" t="n"/>
      <c r="E37" s="7" t="n"/>
      <c r="F37" s="7" t="n"/>
      <c r="G37" s="7" t="n"/>
      <c r="H37" s="7" t="n"/>
      <c r="I37" s="9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50">
      <c r="A38" s="7" t="n"/>
      <c r="B38" s="7" t="n"/>
      <c r="C38" s="7" t="n"/>
      <c r="D38" s="7" t="n"/>
      <c r="E38" s="7" t="n"/>
      <c r="F38" s="7" t="n"/>
      <c r="G38" s="7" t="n"/>
      <c r="H38" s="7" t="n"/>
      <c r="I38" s="9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50">
      <c r="A39" s="7" t="n"/>
      <c r="B39" s="7" t="n"/>
      <c r="C39" s="7" t="n"/>
      <c r="D39" s="7" t="n"/>
      <c r="E39" s="7" t="n"/>
      <c r="F39" s="7" t="n"/>
      <c r="G39" s="7" t="n"/>
      <c r="H39" s="7" t="n"/>
      <c r="I39" s="9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50">
      <c r="A40" s="7" t="n"/>
      <c r="B40" s="7" t="n"/>
      <c r="C40" s="7" t="n"/>
      <c r="D40" s="7" t="n"/>
      <c r="E40" s="7" t="n"/>
      <c r="F40" s="7" t="n"/>
      <c r="G40" s="7" t="n"/>
      <c r="H40" s="7" t="n"/>
      <c r="I40" s="9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50">
      <c r="A41" s="7" t="n"/>
      <c r="B41" s="7" t="n"/>
      <c r="C41" s="7" t="n"/>
      <c r="D41" s="7" t="n"/>
      <c r="E41" s="7" t="n"/>
      <c r="F41" s="7" t="n"/>
      <c r="G41" s="7" t="n"/>
      <c r="H41" s="7" t="n"/>
      <c r="I41" s="9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50">
      <c r="A42" s="7" t="n"/>
      <c r="B42" s="7" t="n"/>
      <c r="C42" s="7" t="n"/>
      <c r="D42" s="7" t="n"/>
      <c r="E42" s="7" t="n"/>
      <c r="F42" s="7" t="n"/>
      <c r="G42" s="7" t="n"/>
      <c r="H42" s="7" t="n"/>
      <c r="I42" s="9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50">
      <c r="A43" s="7" t="n"/>
      <c r="B43" s="7" t="n"/>
      <c r="C43" s="7" t="n"/>
      <c r="D43" s="7" t="n"/>
      <c r="E43" s="7" t="n"/>
      <c r="F43" s="7" t="n"/>
      <c r="G43" s="7" t="n"/>
      <c r="H43" s="7" t="n"/>
      <c r="I43" s="9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50">
      <c r="A44" s="7" t="n"/>
      <c r="B44" s="7" t="n"/>
      <c r="C44" s="7" t="n"/>
      <c r="D44" s="7" t="n"/>
      <c r="E44" s="7" t="n"/>
      <c r="F44" s="7" t="n"/>
      <c r="G44" s="7" t="n"/>
      <c r="H44" s="7" t="n"/>
      <c r="I44" s="9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50">
      <c r="A45" s="7" t="n"/>
      <c r="B45" s="7" t="n"/>
      <c r="C45" s="7" t="n"/>
      <c r="D45" s="7" t="n"/>
      <c r="E45" s="7" t="n"/>
      <c r="F45" s="7" t="n"/>
      <c r="G45" s="7" t="n"/>
      <c r="H45" s="7" t="n"/>
      <c r="I45" s="9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50">
      <c r="A46" s="7" t="n"/>
      <c r="B46" s="7" t="n"/>
      <c r="C46" s="7" t="n"/>
      <c r="D46" s="7" t="n"/>
      <c r="E46" s="7" t="n"/>
      <c r="F46" s="7" t="n"/>
      <c r="G46" s="7" t="n"/>
      <c r="H46" s="7" t="n"/>
      <c r="I46" s="9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50">
      <c r="A47" s="7" t="n"/>
      <c r="B47" s="7" t="n"/>
      <c r="C47" s="7" t="n"/>
      <c r="D47" s="7" t="n"/>
      <c r="E47" s="7" t="n"/>
      <c r="F47" s="7" t="n"/>
      <c r="G47" s="7" t="n"/>
      <c r="H47" s="7" t="n"/>
      <c r="I47" s="9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50">
      <c r="A48" s="7" t="n"/>
      <c r="B48" s="7" t="n"/>
      <c r="C48" s="7" t="n"/>
      <c r="D48" s="7" t="n"/>
      <c r="E48" s="7" t="n"/>
      <c r="F48" s="7" t="n"/>
      <c r="G48" s="7" t="n"/>
      <c r="H48" s="7" t="n"/>
      <c r="I48" s="9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50">
      <c r="A49" s="7" t="n"/>
      <c r="B49" s="7" t="n"/>
      <c r="C49" s="7" t="n"/>
      <c r="D49" s="7" t="n"/>
      <c r="E49" s="7" t="n"/>
      <c r="F49" s="7" t="n"/>
      <c r="G49" s="7" t="n"/>
      <c r="H49" s="7" t="n"/>
      <c r="I49" s="9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50">
      <c r="A50" s="7" t="n"/>
      <c r="B50" s="7" t="n"/>
      <c r="C50" s="7" t="n"/>
      <c r="D50" s="7" t="n"/>
      <c r="E50" s="7" t="n"/>
      <c r="F50" s="7" t="n"/>
      <c r="G50" s="7" t="n"/>
      <c r="H50" s="7" t="n"/>
      <c r="I50" s="9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50">
      <c r="A51" s="7" t="n"/>
      <c r="B51" s="7" t="n"/>
      <c r="C51" s="7" t="n"/>
      <c r="D51" s="7" t="n"/>
      <c r="E51" s="7" t="n"/>
      <c r="F51" s="7" t="n"/>
      <c r="G51" s="7" t="n"/>
      <c r="H51" s="7" t="n"/>
      <c r="I51" s="9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50">
      <c r="A52" s="7" t="n"/>
      <c r="B52" s="7" t="n"/>
      <c r="C52" s="7" t="n"/>
      <c r="D52" s="7" t="n"/>
      <c r="E52" s="7" t="n"/>
      <c r="F52" s="7" t="n"/>
      <c r="G52" s="7" t="n"/>
      <c r="H52" s="7" t="n"/>
      <c r="I52" s="9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50">
      <c r="A53" s="7" t="n"/>
      <c r="B53" s="7" t="n"/>
      <c r="C53" s="7" t="n"/>
      <c r="D53" s="7" t="n"/>
      <c r="E53" s="7" t="n"/>
      <c r="F53" s="7" t="n"/>
      <c r="G53" s="7" t="n"/>
      <c r="H53" s="7" t="n"/>
      <c r="I53" s="9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50">
      <c r="A54" s="7" t="n"/>
      <c r="B54" s="7" t="n"/>
      <c r="C54" s="7" t="n"/>
      <c r="D54" s="7" t="n"/>
      <c r="E54" s="7" t="n"/>
      <c r="F54" s="7" t="n"/>
      <c r="G54" s="7" t="n"/>
      <c r="H54" s="7" t="n"/>
      <c r="I54" s="9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50">
      <c r="A55" s="7" t="n"/>
      <c r="B55" s="7" t="n"/>
      <c r="C55" s="7" t="n"/>
      <c r="D55" s="7" t="n"/>
      <c r="E55" s="7" t="n"/>
      <c r="F55" s="7" t="n"/>
      <c r="G55" s="7" t="n"/>
      <c r="H55" s="7" t="n"/>
      <c r="I55" s="9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50">
      <c r="A56" s="7" t="n"/>
      <c r="B56" s="7" t="n"/>
      <c r="C56" s="7" t="n"/>
      <c r="D56" s="7" t="n"/>
      <c r="E56" s="7" t="n"/>
      <c r="F56" s="7" t="n"/>
      <c r="G56" s="7" t="n"/>
      <c r="H56" s="7" t="n"/>
      <c r="I56" s="9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50">
      <c r="A57" s="7" t="n"/>
      <c r="B57" s="7" t="n"/>
      <c r="C57" s="7" t="n"/>
      <c r="D57" s="7" t="n"/>
      <c r="E57" s="7" t="n"/>
      <c r="F57" s="7" t="n"/>
      <c r="G57" s="7" t="n"/>
      <c r="H57" s="7" t="n"/>
      <c r="I57" s="9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50">
      <c r="A58" s="7" t="n"/>
      <c r="B58" s="7" t="n"/>
      <c r="C58" s="7" t="n"/>
      <c r="D58" s="7" t="n"/>
      <c r="E58" s="7" t="n"/>
      <c r="F58" s="7" t="n"/>
      <c r="G58" s="7" t="n"/>
      <c r="H58" s="7" t="n"/>
      <c r="I58" s="9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50">
      <c r="A59" s="7" t="n"/>
      <c r="B59" s="7" t="n"/>
      <c r="C59" s="7" t="n"/>
      <c r="D59" s="7" t="n"/>
      <c r="E59" s="7" t="n"/>
      <c r="F59" s="7" t="n"/>
      <c r="G59" s="7" t="n"/>
      <c r="H59" s="7" t="n"/>
      <c r="I59" s="9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50">
      <c r="A60" s="7" t="n"/>
      <c r="B60" s="7" t="n"/>
      <c r="C60" s="7" t="n"/>
      <c r="D60" s="7" t="n"/>
      <c r="E60" s="7" t="n"/>
      <c r="F60" s="7" t="n"/>
      <c r="G60" s="7" t="n"/>
      <c r="H60" s="7" t="n"/>
      <c r="I60" s="9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50">
      <c r="A61" s="7" t="n"/>
      <c r="B61" s="7" t="n"/>
      <c r="C61" s="7" t="n"/>
      <c r="D61" s="7" t="n"/>
      <c r="E61" s="7" t="n"/>
      <c r="F61" s="7" t="n"/>
      <c r="G61" s="7" t="n"/>
      <c r="H61" s="7" t="n"/>
      <c r="I61" s="9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50">
      <c r="A62" s="7" t="n"/>
      <c r="B62" s="7" t="n"/>
      <c r="C62" s="7" t="n"/>
      <c r="D62" s="7" t="n"/>
      <c r="E62" s="7" t="n"/>
      <c r="F62" s="7" t="n"/>
      <c r="G62" s="7" t="n"/>
      <c r="H62" s="7" t="n"/>
      <c r="I62" s="9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50">
      <c r="A63" s="7" t="n"/>
      <c r="B63" s="7" t="n"/>
      <c r="C63" s="7" t="n"/>
      <c r="D63" s="7" t="n"/>
      <c r="E63" s="7" t="n"/>
      <c r="F63" s="7" t="n"/>
      <c r="G63" s="7" t="n"/>
      <c r="H63" s="7" t="n"/>
      <c r="I63" s="9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50">
      <c r="A64" s="7" t="n"/>
      <c r="B64" s="7" t="n"/>
      <c r="C64" s="7" t="n"/>
      <c r="D64" s="7" t="n"/>
      <c r="E64" s="7" t="n"/>
      <c r="F64" s="7" t="n"/>
      <c r="G64" s="7" t="n"/>
      <c r="H64" s="7" t="n"/>
      <c r="I64" s="9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50">
      <c r="A65" s="7" t="n"/>
      <c r="B65" s="7" t="n"/>
      <c r="C65" s="7" t="n"/>
      <c r="D65" s="7" t="n"/>
      <c r="E65" s="7" t="n"/>
      <c r="F65" s="7" t="n"/>
      <c r="G65" s="7" t="n"/>
      <c r="H65" s="7" t="n"/>
      <c r="I65" s="9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50">
      <c r="A66" s="7" t="n"/>
      <c r="B66" s="7" t="n"/>
      <c r="C66" s="7" t="n"/>
      <c r="D66" s="7" t="n"/>
      <c r="E66" s="7" t="n"/>
      <c r="F66" s="7" t="n"/>
      <c r="G66" s="7" t="n"/>
      <c r="H66" s="7" t="n"/>
      <c r="I66" s="9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50">
      <c r="A67" s="7" t="n"/>
      <c r="B67" s="7" t="n"/>
      <c r="C67" s="7" t="n"/>
      <c r="D67" s="7" t="n"/>
      <c r="E67" s="7" t="n"/>
      <c r="F67" s="7" t="n"/>
      <c r="G67" s="7" t="n"/>
      <c r="H67" s="7" t="n"/>
      <c r="I67" s="9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50">
      <c r="A68" s="7" t="n"/>
      <c r="B68" s="7" t="n"/>
      <c r="C68" s="7" t="n"/>
      <c r="D68" s="7" t="n"/>
      <c r="E68" s="7" t="n"/>
      <c r="F68" s="7" t="n"/>
      <c r="G68" s="7" t="n"/>
      <c r="H68" s="7" t="n"/>
      <c r="I68" s="9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50">
      <c r="A69" s="7" t="n"/>
      <c r="B69" s="7" t="n"/>
      <c r="C69" s="7" t="n"/>
      <c r="D69" s="7" t="n"/>
      <c r="E69" s="7" t="n"/>
      <c r="F69" s="7" t="n"/>
      <c r="G69" s="7" t="n"/>
      <c r="H69" s="7" t="n"/>
      <c r="I69" s="9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50">
      <c r="A70" s="7" t="n"/>
      <c r="B70" s="7" t="n"/>
      <c r="C70" s="7" t="n"/>
      <c r="D70" s="7" t="n"/>
      <c r="E70" s="7" t="n"/>
      <c r="F70" s="7" t="n"/>
      <c r="G70" s="7" t="n"/>
      <c r="H70" s="7" t="n"/>
      <c r="I70" s="9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50">
      <c r="A71" s="7" t="n"/>
      <c r="B71" s="7" t="n"/>
      <c r="C71" s="7" t="n"/>
      <c r="D71" s="7" t="n"/>
      <c r="E71" s="7" t="n"/>
      <c r="F71" s="7" t="n"/>
      <c r="G71" s="7" t="n"/>
      <c r="H71" s="7" t="n"/>
      <c r="I71" s="9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50">
      <c r="A72" s="7" t="n"/>
      <c r="B72" s="7" t="n"/>
      <c r="C72" s="7" t="n"/>
      <c r="D72" s="7" t="n"/>
      <c r="E72" s="7" t="n"/>
      <c r="F72" s="7" t="n"/>
      <c r="G72" s="7" t="n"/>
      <c r="H72" s="7" t="n"/>
      <c r="I72" s="9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50">
      <c r="A73" s="7" t="n"/>
      <c r="B73" s="7" t="n"/>
      <c r="C73" s="7" t="n"/>
      <c r="D73" s="7" t="n"/>
      <c r="E73" s="7" t="n"/>
      <c r="F73" s="7" t="n"/>
      <c r="G73" s="7" t="n"/>
      <c r="H73" s="7" t="n"/>
      <c r="I73" s="9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50">
      <c r="A74" s="7" t="n"/>
      <c r="B74" s="7" t="n"/>
      <c r="C74" s="7" t="n"/>
      <c r="D74" s="7" t="n"/>
      <c r="E74" s="7" t="n"/>
      <c r="F74" s="7" t="n"/>
      <c r="G74" s="7" t="n"/>
      <c r="H74" s="7" t="n"/>
      <c r="I74" s="9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50">
      <c r="A75" s="7" t="n"/>
      <c r="B75" s="7" t="n"/>
      <c r="C75" s="7" t="n"/>
      <c r="D75" s="7" t="n"/>
      <c r="E75" s="7" t="n"/>
      <c r="F75" s="7" t="n"/>
      <c r="G75" s="7" t="n"/>
      <c r="H75" s="7" t="n"/>
      <c r="I75" s="9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50">
      <c r="A76" s="7" t="n"/>
      <c r="B76" s="7" t="n"/>
      <c r="C76" s="7" t="n"/>
      <c r="D76" s="7" t="n"/>
      <c r="E76" s="7" t="n"/>
      <c r="F76" s="7" t="n"/>
      <c r="G76" s="7" t="n"/>
      <c r="H76" s="7" t="n"/>
      <c r="I76" s="9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50">
      <c r="A77" s="7" t="n"/>
      <c r="B77" s="7" t="n"/>
      <c r="C77" s="7" t="n"/>
      <c r="D77" s="7" t="n"/>
      <c r="E77" s="7" t="n"/>
      <c r="F77" s="7" t="n"/>
      <c r="G77" s="7" t="n"/>
      <c r="H77" s="7" t="n"/>
      <c r="I77" s="9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50">
      <c r="A78" s="7" t="n"/>
      <c r="B78" s="7" t="n"/>
      <c r="C78" s="7" t="n"/>
      <c r="D78" s="7" t="n"/>
      <c r="E78" s="7" t="n"/>
      <c r="F78" s="7" t="n"/>
      <c r="G78" s="7" t="n"/>
      <c r="H78" s="7" t="n"/>
      <c r="I78" s="9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50">
      <c r="A79" s="7" t="n"/>
      <c r="B79" s="7" t="n"/>
      <c r="C79" s="7" t="n"/>
      <c r="D79" s="7" t="n"/>
      <c r="E79" s="7" t="n"/>
      <c r="F79" s="7" t="n"/>
      <c r="G79" s="7" t="n"/>
      <c r="H79" s="7" t="n"/>
      <c r="I79" s="9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50">
      <c r="A80" s="7" t="n"/>
      <c r="B80" s="7" t="n"/>
      <c r="C80" s="7" t="n"/>
      <c r="D80" s="7" t="n"/>
      <c r="E80" s="7" t="n"/>
      <c r="F80" s="7" t="n"/>
      <c r="G80" s="7" t="n"/>
      <c r="H80" s="7" t="n"/>
      <c r="I80" s="9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50">
      <c r="A81" s="7" t="n"/>
      <c r="B81" s="7" t="n"/>
      <c r="C81" s="7" t="n"/>
      <c r="D81" s="7" t="n"/>
      <c r="E81" s="7" t="n"/>
      <c r="F81" s="7" t="n"/>
      <c r="G81" s="7" t="n"/>
      <c r="H81" s="7" t="n"/>
      <c r="I81" s="9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50">
      <c r="A82" s="7" t="n"/>
      <c r="B82" s="7" t="n"/>
      <c r="C82" s="7" t="n"/>
      <c r="D82" s="7" t="n"/>
      <c r="E82" s="7" t="n"/>
      <c r="F82" s="7" t="n"/>
      <c r="G82" s="7" t="n"/>
      <c r="H82" s="7" t="n"/>
      <c r="I82" s="9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50">
      <c r="A83" s="7" t="n"/>
      <c r="B83" s="7" t="n"/>
      <c r="C83" s="7" t="n"/>
      <c r="D83" s="7" t="n"/>
      <c r="E83" s="7" t="n"/>
      <c r="F83" s="7" t="n"/>
      <c r="G83" s="7" t="n"/>
      <c r="H83" s="7" t="n"/>
      <c r="I83" s="9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50">
      <c r="A84" s="7" t="n"/>
      <c r="B84" s="7" t="n"/>
      <c r="C84" s="7" t="n"/>
      <c r="D84" s="7" t="n"/>
      <c r="E84" s="7" t="n"/>
      <c r="F84" s="7" t="n"/>
      <c r="G84" s="7" t="n"/>
      <c r="H84" s="7" t="n"/>
      <c r="I84" s="9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50">
      <c r="A85" s="7" t="n"/>
      <c r="B85" s="7" t="n"/>
      <c r="C85" s="7" t="n"/>
      <c r="D85" s="7" t="n"/>
      <c r="E85" s="7" t="n"/>
      <c r="F85" s="7" t="n"/>
      <c r="G85" s="7" t="n"/>
      <c r="H85" s="7" t="n"/>
      <c r="I85" s="9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50">
      <c r="A86" s="7" t="n"/>
      <c r="B86" s="7" t="n"/>
      <c r="C86" s="7" t="n"/>
      <c r="D86" s="7" t="n"/>
      <c r="E86" s="7" t="n"/>
      <c r="F86" s="7" t="n"/>
      <c r="G86" s="7" t="n"/>
      <c r="H86" s="7" t="n"/>
      <c r="I86" s="9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50">
      <c r="A87" s="7" t="n"/>
      <c r="B87" s="7" t="n"/>
      <c r="C87" s="7" t="n"/>
      <c r="D87" s="7" t="n"/>
      <c r="E87" s="7" t="n"/>
      <c r="F87" s="7" t="n"/>
      <c r="G87" s="7" t="n"/>
      <c r="H87" s="7" t="n"/>
      <c r="I87" s="9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50">
      <c r="A88" s="7" t="n"/>
      <c r="B88" s="7" t="n"/>
      <c r="C88" s="7" t="n"/>
      <c r="D88" s="7" t="n"/>
      <c r="E88" s="7" t="n"/>
      <c r="F88" s="7" t="n"/>
      <c r="G88" s="7" t="n"/>
      <c r="H88" s="7" t="n"/>
      <c r="I88" s="9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50">
      <c r="A89" s="7" t="n"/>
      <c r="B89" s="7" t="n"/>
      <c r="C89" s="7" t="n"/>
      <c r="D89" s="7" t="n"/>
      <c r="E89" s="7" t="n"/>
      <c r="F89" s="7" t="n"/>
      <c r="G89" s="7" t="n"/>
      <c r="H89" s="7" t="n"/>
      <c r="I89" s="9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50">
      <c r="A90" s="7" t="n"/>
      <c r="B90" s="7" t="n"/>
      <c r="C90" s="7" t="n"/>
      <c r="D90" s="7" t="n"/>
      <c r="E90" s="7" t="n"/>
      <c r="F90" s="7" t="n"/>
      <c r="G90" s="7" t="n"/>
      <c r="H90" s="7" t="n"/>
      <c r="I90" s="9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50">
      <c r="A91" s="7" t="n"/>
      <c r="B91" s="7" t="n"/>
      <c r="C91" s="7" t="n"/>
      <c r="D91" s="7" t="n"/>
      <c r="E91" s="7" t="n"/>
      <c r="F91" s="7" t="n"/>
      <c r="G91" s="7" t="n"/>
      <c r="H91" s="7" t="n"/>
      <c r="I91" s="9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50">
      <c r="A92" s="7" t="n"/>
      <c r="B92" s="7" t="n"/>
      <c r="C92" s="7" t="n"/>
      <c r="D92" s="7" t="n"/>
      <c r="E92" s="7" t="n"/>
      <c r="F92" s="7" t="n"/>
      <c r="G92" s="7" t="n"/>
      <c r="H92" s="7" t="n"/>
      <c r="I92" s="9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50">
      <c r="A93" s="7" t="n"/>
      <c r="B93" s="7" t="n"/>
      <c r="C93" s="7" t="n"/>
      <c r="D93" s="7" t="n"/>
      <c r="E93" s="7" t="n"/>
      <c r="F93" s="7" t="n"/>
      <c r="G93" s="7" t="n"/>
      <c r="H93" s="7" t="n"/>
      <c r="I93" s="9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50">
      <c r="A94" s="7" t="n"/>
      <c r="B94" s="7" t="n"/>
      <c r="C94" s="7" t="n"/>
      <c r="D94" s="7" t="n"/>
      <c r="E94" s="7" t="n"/>
      <c r="F94" s="7" t="n"/>
      <c r="G94" s="7" t="n"/>
      <c r="H94" s="7" t="n"/>
      <c r="I94" s="9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50">
      <c r="A95" s="7" t="n"/>
      <c r="B95" s="7" t="n"/>
      <c r="C95" s="7" t="n"/>
      <c r="D95" s="7" t="n"/>
      <c r="E95" s="7" t="n"/>
      <c r="F95" s="7" t="n"/>
      <c r="G95" s="7" t="n"/>
      <c r="H95" s="7" t="n"/>
      <c r="I95" s="9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50">
      <c r="A96" s="7" t="n"/>
      <c r="B96" s="7" t="n"/>
      <c r="C96" s="7" t="n"/>
      <c r="D96" s="7" t="n"/>
      <c r="E96" s="7" t="n"/>
      <c r="F96" s="7" t="n"/>
      <c r="G96" s="7" t="n"/>
      <c r="H96" s="7" t="n"/>
      <c r="I96" s="9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50">
      <c r="A97" s="7" t="n"/>
      <c r="B97" s="7" t="n"/>
      <c r="C97" s="7" t="n"/>
      <c r="D97" s="7" t="n"/>
      <c r="E97" s="7" t="n"/>
      <c r="F97" s="7" t="n"/>
      <c r="G97" s="7" t="n"/>
      <c r="H97" s="7" t="n"/>
      <c r="I97" s="9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50">
      <c r="A98" s="7" t="n"/>
      <c r="B98" s="7" t="n"/>
      <c r="C98" s="7" t="n"/>
      <c r="D98" s="7" t="n"/>
      <c r="E98" s="7" t="n"/>
      <c r="F98" s="7" t="n"/>
      <c r="G98" s="7" t="n"/>
      <c r="H98" s="7" t="n"/>
      <c r="I98" s="9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50">
      <c r="A99" s="7" t="n"/>
      <c r="B99" s="7" t="n"/>
      <c r="C99" s="7" t="n"/>
      <c r="D99" s="7" t="n"/>
      <c r="E99" s="7" t="n"/>
      <c r="F99" s="7" t="n"/>
      <c r="G99" s="7" t="n"/>
      <c r="H99" s="7" t="n"/>
      <c r="I99" s="9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5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9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50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9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5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9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50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9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5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9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50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9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5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9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50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9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5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9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50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9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5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9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50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9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5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9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50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9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5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9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50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9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5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9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50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9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5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9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50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9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5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9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50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9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5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9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50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9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5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9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50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9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5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9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50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9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5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9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50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9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5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9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50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9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5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9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50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9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5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9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50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9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5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9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50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9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5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9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50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9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5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9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50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9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5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9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50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9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5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9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50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9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5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9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50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9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5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9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50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9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9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50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9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5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9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50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9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5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9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50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9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5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9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50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9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5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9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50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9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5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9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50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9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5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9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50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9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5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9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50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9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5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9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50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9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5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9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50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9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5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9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50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9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5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9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50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9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5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9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50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9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5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9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50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9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5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9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50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9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5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9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50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9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5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9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50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9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5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9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50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9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5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9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50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9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5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9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50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9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5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9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50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9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5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9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50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9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5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9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50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9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5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9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50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9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5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9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50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9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5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9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50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9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5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9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50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9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50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9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50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9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50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9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50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9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50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9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50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9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5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9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50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9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50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9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50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9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50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9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50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9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50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9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50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9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50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9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50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9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5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9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50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9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50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9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50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9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50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9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50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9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50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9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50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9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50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9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50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9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5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9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50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9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50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9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50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9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50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9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50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9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50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9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50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9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50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9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50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9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5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9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50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9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50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9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50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9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50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9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50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9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50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9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50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9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50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9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50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9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9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50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9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50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9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50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9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50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9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50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9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50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9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50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9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50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9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50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9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5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9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50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9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50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9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50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9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50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9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50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9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50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9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50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9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50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9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50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9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5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9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50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9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50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9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50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9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50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9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50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9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50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9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50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9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50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9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50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9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5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9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50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9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50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9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50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9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50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9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50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9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50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9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50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9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50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9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50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9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5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9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50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9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50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9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50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9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50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9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50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9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50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9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50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9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50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9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50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9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5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9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50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9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50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9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50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9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50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9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50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9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50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9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50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9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50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9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50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9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5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9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50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9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50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9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50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9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50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9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50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9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50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9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50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9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50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9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50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9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5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9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50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9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50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9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50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9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50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9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50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9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50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9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50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9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50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9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50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9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5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9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50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9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50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9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50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9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50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9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50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9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50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9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50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9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50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9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50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9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5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9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50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9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50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9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50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9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50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9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50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9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50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9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50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9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50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9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50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9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9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50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9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50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9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50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9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50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9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50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9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50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9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50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9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50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9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50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9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5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9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50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9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50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9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50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9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50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9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50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9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50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9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50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9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50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9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50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9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5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9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50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9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50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9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50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9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50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9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50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9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50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9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50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9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50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9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50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9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5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9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50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9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50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9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50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9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50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9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50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9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50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9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50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9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50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9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50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9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5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9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50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9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50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9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50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9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50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9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50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9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50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9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50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9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50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9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50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9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5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9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50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9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50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9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50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9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50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9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50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9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50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9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50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9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50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9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50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9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5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9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50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9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50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9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50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9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50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9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50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9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50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9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50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9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50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9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50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9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5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9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50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9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50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9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50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9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50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9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50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9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50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9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50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9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50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9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50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9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5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9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50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9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50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9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50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9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50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9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50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9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50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9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50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9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50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9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50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9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5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9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50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9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50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9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50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9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50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9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50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9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50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9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50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9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50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9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50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9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9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50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9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50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9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50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9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50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9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50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9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50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9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50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9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50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9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50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9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5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9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50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9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50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9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50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9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50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9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50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9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50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9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50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9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50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9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50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9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5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9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50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9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50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9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50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9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50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9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50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9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50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9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50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9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50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9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50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9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5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9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50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9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50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9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50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9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50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9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50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9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50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9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50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9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50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9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50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9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5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9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50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9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50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9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50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9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50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9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50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9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50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9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50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9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50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9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50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9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5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9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50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9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50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9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50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9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50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9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50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9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50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9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50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9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50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9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50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9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5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9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50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9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50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9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50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9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50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9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50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9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50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9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50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9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50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9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50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9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5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9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50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9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50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9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50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9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50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9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50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9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50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9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50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9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50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9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50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9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5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9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50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9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50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9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50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9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50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9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50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9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50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9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50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9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50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9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50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9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5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9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50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9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50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9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50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9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50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9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50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9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50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9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50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9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50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9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50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9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9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50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9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50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9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50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9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50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9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50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9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50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9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50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9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50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9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50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9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5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9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50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9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50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9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50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9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50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9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50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9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50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9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50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9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50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9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50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9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5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9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50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9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50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9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50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9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50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9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50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9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50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9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50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9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50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9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50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9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5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9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50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9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50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9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50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9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50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9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50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9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50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9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50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9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50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9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50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9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5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9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50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9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50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9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50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9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50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9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50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9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50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9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50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9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50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9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50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9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5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9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50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9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50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9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50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9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50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9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50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9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50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9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50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9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50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9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50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9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5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9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50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9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50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9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50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9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50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9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50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9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50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9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50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9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50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9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50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9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5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9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50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9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50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9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50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9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50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9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50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9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50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9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50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9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50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9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50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9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5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9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50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9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50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9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50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9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50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9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50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9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50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9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50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9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50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9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50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9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5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9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50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9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50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9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50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9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50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9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50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9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50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9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50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9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50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9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50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9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9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50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9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50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9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50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9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50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9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50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9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50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9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50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9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50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9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50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9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5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9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50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9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50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9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50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9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50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9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50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9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50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9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50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9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50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9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50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9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5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9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50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9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50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9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50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9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50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9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50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9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50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9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50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9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50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9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50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9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5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9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50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9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50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9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50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9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50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9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50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9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50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9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50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9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50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9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50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9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5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9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50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9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50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9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50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9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50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9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50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9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50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9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50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9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50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9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50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9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5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9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50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9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50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9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50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9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50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9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50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9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50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9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50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9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50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9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50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9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5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9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50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9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50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9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50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9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50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9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50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9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50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9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50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9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50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9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50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9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5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9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50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9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50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9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50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9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50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9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50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9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50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9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50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9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50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9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50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9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5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9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50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9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50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9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50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9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50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9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50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9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50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9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50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9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50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9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50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9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5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9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50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9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50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9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50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9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50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9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50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9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50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9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50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9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50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9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50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9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9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50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9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50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9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50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9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50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9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50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9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50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9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50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9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50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9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50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9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5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9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50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9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50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9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50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9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50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9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50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9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50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9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50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9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50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9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50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9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5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9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50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9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50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9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50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9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50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9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50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9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50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9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50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9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50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9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50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9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5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9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50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9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50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9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50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9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50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9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50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9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50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9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50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9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50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9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50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9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5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9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50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9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50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9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50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9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50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9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50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9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50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9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50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9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50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9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50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9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5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9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50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9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50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9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50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9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50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9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50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9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50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9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50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9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50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9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50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9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5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9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50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9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50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9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50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9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50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9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50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9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50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9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50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9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50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9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50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9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5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9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50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9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50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9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50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9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50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9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50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9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50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9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50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9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50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9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50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9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5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9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50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9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50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9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50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9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50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9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50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9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50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9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50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9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50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9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50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9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5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9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50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9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50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9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50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9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50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9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50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9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50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9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50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9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50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9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50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9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9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50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9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50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9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50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9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50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9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50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9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50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9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50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9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50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9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50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9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5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9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50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9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50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9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50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9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50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9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50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9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50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9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50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9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50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9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50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9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5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9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50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9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50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9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50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9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50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9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50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9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50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9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50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9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50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9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50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9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5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9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50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9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50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9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50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9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50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9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50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9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50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9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50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9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50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9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50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9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5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9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50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9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50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9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50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9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50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9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50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9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50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9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50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9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50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9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50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9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5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9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50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9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50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9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50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9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50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9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50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9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50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9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50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9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50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9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50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9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5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9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50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9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50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9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50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9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50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9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50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9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50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9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50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9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50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9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50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9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5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9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50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9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50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9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50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9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50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9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50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9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50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9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50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9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50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9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50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9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5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9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50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9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50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9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50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9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50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9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50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9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50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9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50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9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50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9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50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9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5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9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50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9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50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9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50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9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50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9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50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9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50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9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50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9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50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9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50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9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9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50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9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50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9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50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9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50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9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50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9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50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9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50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9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50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9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50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9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5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9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50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9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50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9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50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9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50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9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50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9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50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9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50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9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50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9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50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9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5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9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50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9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50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9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50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9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50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9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50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9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50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9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50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9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50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9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50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9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5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9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50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9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50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9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50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9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50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9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50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9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50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9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50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9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50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9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50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9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5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9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50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9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50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9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50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9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50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9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50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9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50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9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50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9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50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9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50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9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5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9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5">
    <mergeCell ref="F6:H6"/>
    <mergeCell ref="F5:H5"/>
    <mergeCell ref="B4:H4"/>
    <mergeCell ref="B2:H2"/>
    <mergeCell ref="B3:H3"/>
  </mergeCells>
  <dataValidations count="1">
    <dataValidation sqref="F1 F7:F143" showDropDown="0" showInputMessage="1" showErrorMessage="1" allowBlank="0" prompt=" - " type="list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zoomScaleNormal="100" workbookViewId="0">
      <pane ySplit="8" topLeftCell="A9" activePane="bottomLeft" state="frozen"/>
      <selection pane="bottomLeft" activeCell="A1" sqref="A1"/>
    </sheetView>
  </sheetViews>
  <sheetFormatPr baseColWidth="8" defaultColWidth="14.453125" defaultRowHeight="14.5"/>
  <cols>
    <col width="13.1796875" customWidth="1" style="150" min="1" max="1"/>
    <col width="21.81640625" customWidth="1" style="150" min="2" max="2"/>
    <col width="29.26953125" customWidth="1" style="150" min="3" max="3"/>
    <col width="34.453125" customWidth="1" style="150" min="4" max="4"/>
    <col width="19.26953125" customWidth="1" style="150" min="5" max="5"/>
    <col width="13.54296875" customWidth="1" style="150" min="6" max="6"/>
    <col width="10.26953125" customWidth="1" style="150" min="7" max="7"/>
    <col width="20.1796875" customWidth="1" style="150" min="8" max="8"/>
    <col width="9.453125" customWidth="1" style="150" min="9" max="9"/>
    <col hidden="1" width="7.54296875" customWidth="1" style="150" min="10" max="10"/>
    <col width="10.26953125" customWidth="1" style="150" min="11" max="11"/>
    <col width="9.1796875" customWidth="1" style="150" min="12" max="26"/>
  </cols>
  <sheetData>
    <row r="1" ht="13.5" customHeight="1" s="150">
      <c r="A1" s="71" t="n"/>
      <c r="B1" s="72" t="n"/>
      <c r="C1" s="72" t="n"/>
      <c r="D1" s="72" t="n"/>
      <c r="E1" s="72" t="n"/>
      <c r="F1" s="73" t="n"/>
      <c r="G1" s="74" t="n"/>
      <c r="H1" s="32" t="n"/>
      <c r="I1" s="75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 ht="15" customHeight="1" s="150">
      <c r="A2" s="77" t="inlineStr">
        <is>
          <t>Module Code</t>
        </is>
      </c>
      <c r="B2" s="147" t="inlineStr">
        <is>
          <t>ReplyAll</t>
        </is>
      </c>
      <c r="C2" s="130" t="n"/>
      <c r="D2" s="130" t="n"/>
      <c r="E2" s="130" t="n"/>
      <c r="F2" s="130" t="n"/>
      <c r="G2" s="130" t="n"/>
      <c r="H2" s="131" t="n"/>
      <c r="I2" s="75" t="n"/>
      <c r="J2" s="76" t="inlineStr">
        <is>
          <t>Passed</t>
        </is>
      </c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25.5" customHeight="1" s="150">
      <c r="A3" s="78" t="inlineStr">
        <is>
          <t>Test requirement</t>
        </is>
      </c>
      <c r="B3" s="147" t="inlineStr">
        <is>
          <t>Trả lời tất cả (Reply All)</t>
        </is>
      </c>
      <c r="C3" s="130" t="n"/>
      <c r="D3" s="130" t="n"/>
      <c r="E3" s="130" t="n"/>
      <c r="F3" s="130" t="n"/>
      <c r="G3" s="130" t="n"/>
      <c r="H3" s="131" t="n"/>
      <c r="I3" s="75" t="n"/>
      <c r="J3" s="76" t="inlineStr">
        <is>
          <t>Failed</t>
        </is>
      </c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 ht="18" customHeight="1" s="150">
      <c r="A4" s="77" t="inlineStr">
        <is>
          <t>Tester</t>
        </is>
      </c>
      <c r="B4" s="147" t="inlineStr">
        <is>
          <t>Trương Trọng Nhân</t>
        </is>
      </c>
      <c r="C4" s="130" t="n"/>
      <c r="D4" s="130" t="n"/>
      <c r="E4" s="130" t="n"/>
      <c r="F4" s="130" t="n"/>
      <c r="G4" s="130" t="n"/>
      <c r="H4" s="131" t="n"/>
      <c r="I4" s="75" t="n"/>
      <c r="J4" s="76" t="inlineStr">
        <is>
          <t>Blocked</t>
        </is>
      </c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 ht="19.5" customHeight="1" s="150">
      <c r="A5" s="79" t="inlineStr">
        <is>
          <t>Passed</t>
        </is>
      </c>
      <c r="B5" s="146" t="inlineStr">
        <is>
          <t>Failed</t>
        </is>
      </c>
      <c r="C5" s="146" t="inlineStr">
        <is>
          <t>Untested</t>
        </is>
      </c>
      <c r="D5" s="146" t="inlineStr">
        <is>
          <t>Blocked</t>
        </is>
      </c>
      <c r="E5" s="80" t="inlineStr">
        <is>
          <t>Skipped</t>
        </is>
      </c>
      <c r="F5" s="146" t="inlineStr">
        <is>
          <t>Number of Test cases</t>
        </is>
      </c>
      <c r="G5" s="130" t="n"/>
      <c r="H5" s="131" t="n"/>
      <c r="I5" s="81" t="n"/>
      <c r="J5" s="76" t="inlineStr">
        <is>
          <t>Untested</t>
        </is>
      </c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 ht="15" customHeight="1" s="150">
      <c r="A6" s="82">
        <f>COUNTIF(F9:F996,"Passed")</f>
        <v/>
      </c>
      <c r="B6" s="83">
        <f>COUNTIF(F9:F996,"Failed")</f>
        <v/>
      </c>
      <c r="C6" s="83">
        <f>F6-E6-D6-B6-A6</f>
        <v/>
      </c>
      <c r="D6" s="83">
        <f>COUNTIF(F$9:F$996,"Blocked")</f>
        <v/>
      </c>
      <c r="E6" s="84">
        <f>COUNTIF(F$9:F$996,"Skipped")</f>
        <v/>
      </c>
      <c r="F6" s="145">
        <f>COUNTA(A9:A996)</f>
        <v/>
      </c>
      <c r="G6" s="130" t="n"/>
      <c r="H6" s="131" t="n"/>
      <c r="I6" s="81" t="n"/>
      <c r="J6" s="76" t="inlineStr">
        <is>
          <t>Skipped</t>
        </is>
      </c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 ht="15" customHeight="1" s="150">
      <c r="A7" s="76" t="n"/>
      <c r="B7" s="76" t="n"/>
      <c r="C7" s="76" t="n"/>
      <c r="D7" s="85" t="n"/>
      <c r="E7" s="85" t="n"/>
      <c r="F7" s="85" t="n"/>
      <c r="G7" s="85" t="n"/>
      <c r="H7" s="85" t="n"/>
      <c r="I7" s="81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 ht="25.5" customHeight="1" s="150">
      <c r="A8" s="86" t="inlineStr">
        <is>
          <t>ID</t>
        </is>
      </c>
      <c r="B8" s="86" t="inlineStr">
        <is>
          <t>Test Case Description</t>
        </is>
      </c>
      <c r="C8" s="86" t="inlineStr">
        <is>
          <t>Test Case Procedure</t>
        </is>
      </c>
      <c r="D8" s="86" t="inlineStr">
        <is>
          <t>Expected Output</t>
        </is>
      </c>
      <c r="E8" s="87" t="inlineStr">
        <is>
          <t>Inter-test case Dependence</t>
        </is>
      </c>
      <c r="F8" s="87" t="inlineStr">
        <is>
          <t>Result</t>
        </is>
      </c>
      <c r="G8" s="87" t="inlineStr">
        <is>
          <t>Test date</t>
        </is>
      </c>
      <c r="H8" s="86" t="inlineStr">
        <is>
          <t>Note</t>
        </is>
      </c>
      <c r="I8" s="88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 ht="94.5" customHeight="1" s="150">
      <c r="A9" s="89">
        <f>IF(OR(B9&lt;&gt;"",D9&lt;&gt;""),"["&amp;TEXT($B$2,"##")&amp;"-"&amp;TEXT(ROW()-8,"##")&amp;"]","")</f>
        <v/>
      </c>
      <c r="B9" s="90" t="inlineStr">
        <is>
          <t>Kiểm tra hiển thị khung Trả lời tất cả (Reply All)</t>
        </is>
      </c>
      <c r="C9" s="90" t="inlineStr">
        <is>
          <t>Điều kiện tiên quyết:
+ Mở một email có nhiều người nhận trong mục Đến và CC
Các bước thực hiện:
1. Nhấp nút [Trả lời tất cả] (Reply all)</t>
        </is>
      </c>
      <c r="D9" s="90" t="inlineStr">
        <is>
          <t>1. Khung soạn thảo mở ra, giữ nguyên người gửi gốc ở mục [Đến] và toàn bộ những người nhận khác ở mục [Cc].</t>
        </is>
      </c>
      <c r="E9" s="91" t="n"/>
      <c r="F9" s="89" t="inlineStr">
        <is>
          <t>Untested</t>
        </is>
      </c>
      <c r="G9" s="92" t="n"/>
      <c r="H9" s="93" t="n"/>
      <c r="I9" s="94" t="n"/>
      <c r="J9" s="95" t="n"/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  <c r="X9" s="95" t="n"/>
      <c r="Y9" s="95" t="n"/>
      <c r="Z9" s="95" t="n"/>
    </row>
    <row r="10" ht="67.5" customHeight="1" s="150">
      <c r="A10" s="89">
        <f>IF(OR(B10&lt;&gt;"",D10&lt;&gt;""),"["&amp;TEXT($B$2,"##")&amp;"-"&amp;TEXT(ROW()-8,"##")&amp;"]","")</f>
        <v/>
      </c>
      <c r="B10" s="90" t="inlineStr">
        <is>
          <t>Gửi phản hồi bằng chức năng Trả lời tất cả</t>
        </is>
      </c>
      <c r="C10" s="90" t="inlineStr">
        <is>
          <t>Các bước thực hiện:
1. Nhấp nút [Trả lời tất cả]
2. Nhập nội dung ["Đã rõ, cảm ơn mọi người"]
3. Nhấp nút [Gửi]</t>
        </is>
      </c>
      <c r="D10" s="90" t="inlineStr">
        <is>
          <t>3. Thư phản hồi được gửi thành công tới tất cả các thành viên trong cuộc trò chuyện.</t>
        </is>
      </c>
      <c r="E10" s="91" t="n"/>
      <c r="F10" s="89" t="inlineStr">
        <is>
          <t>Untested</t>
        </is>
      </c>
      <c r="G10" s="92" t="n"/>
      <c r="H10" s="93" t="n"/>
      <c r="I10" s="94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</row>
    <row r="11" ht="135" customHeight="1" s="150">
      <c r="A11" s="89">
        <f>IF(OR(B11&lt;&gt;"",D11&lt;&gt;""),"["&amp;TEXT($B$2,"##")&amp;"-"&amp;TEXT(ROW()-8,"##")&amp;"]","")</f>
        <v/>
      </c>
      <c r="B11" s="90" t="inlineStr">
        <is>
          <t>Trả lời tất cả có thêm người nhận Bcc</t>
        </is>
      </c>
      <c r="C11" s="90" t="inlineStr">
        <is>
          <t>Điều kiện tiên quyết:
+ Mở một email có nhiều người nhận trong mục Đến và CC
Các bước thực hiện:
1. Nhấp nút [Trả lời tất cả]
2. Nhấp mở [Bcc] và nhập ["23130217@st.hcmuaf.edu.vn"]
3. Nhập nội dung và nhấp nút [Gửi]</t>
        </is>
      </c>
      <c r="D11" s="90" t="inlineStr">
        <is>
          <t>3. Thư được gửi thành công đến toàn bộ người nhận gốc và địa chỉ Bcc mới; những người nhận khác không nhìn thấy địa chỉ Bcc.</t>
        </is>
      </c>
      <c r="E11" s="91" t="n"/>
      <c r="F11" s="89" t="inlineStr">
        <is>
          <t>Untested</t>
        </is>
      </c>
      <c r="G11" s="92" t="n"/>
      <c r="H11" s="93" t="n"/>
      <c r="I11" s="94" t="n"/>
      <c r="J11" s="95" t="n"/>
      <c r="K11" s="95" t="n"/>
      <c r="L11" s="95" t="n"/>
      <c r="M11" s="95" t="n"/>
      <c r="N11" s="95" t="n"/>
      <c r="O11" s="95" t="n"/>
      <c r="P11" s="95" t="n"/>
      <c r="Q11" s="95" t="n"/>
      <c r="R11" s="95" t="n"/>
      <c r="S11" s="95" t="n"/>
      <c r="T11" s="95" t="n"/>
      <c r="U11" s="95" t="n"/>
      <c r="V11" s="95" t="n"/>
      <c r="W11" s="95" t="n"/>
      <c r="X11" s="95" t="n"/>
      <c r="Y11" s="95" t="n"/>
      <c r="Z11" s="95" t="n"/>
    </row>
    <row r="12" ht="67.5" customHeight="1" s="150">
      <c r="A12" s="89">
        <f>IF(OR(B12&lt;&gt;"",D12&lt;&gt;""),"["&amp;TEXT($B$2,"##")&amp;"-"&amp;TEXT(ROW()-8,"##")&amp;"]","")</f>
        <v/>
      </c>
      <c r="B12" s="90" t="inlineStr">
        <is>
          <t>Trả lời tất cả có đính kèm tệp từ máy tính</t>
        </is>
      </c>
      <c r="C12" s="90" t="inlineStr">
        <is>
          <t>Các bước thực hiện:
1. Nhấp nút [Trả lời tất cả]
2. Tải tệp ["tailieu.pdf"] lên thông qua chức năng Đính kèm tệp
3. Nhấp nút [Gửi]</t>
        </is>
      </c>
      <c r="D12" s="90" t="inlineStr">
        <is>
          <t>2. Tệp "tailieu.pdf" hiển thị hoàn tất trong khung trả lời.
3. Thư được gửi đi kèm tệp đính kèm đến toàn bộ người nhận.</t>
        </is>
      </c>
      <c r="E12" s="91" t="n"/>
      <c r="F12" s="89" t="inlineStr">
        <is>
          <t>Untested</t>
        </is>
      </c>
      <c r="G12" s="92" t="n"/>
      <c r="H12" s="93" t="n"/>
      <c r="I12" s="94" t="n"/>
      <c r="J12" s="95" t="n"/>
      <c r="K12" s="95" t="n"/>
      <c r="L12" s="95" t="n"/>
      <c r="M12" s="95" t="n"/>
      <c r="N12" s="95" t="n"/>
      <c r="O12" s="95" t="n"/>
      <c r="P12" s="95" t="n"/>
      <c r="Q12" s="95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</row>
    <row r="13" ht="148.5" customHeight="1" s="150">
      <c r="A13" s="89">
        <f>IF(OR(B13&lt;&gt;"",D13&lt;&gt;""),"["&amp;TEXT($B$2,"##")&amp;"-"&amp;TEXT(ROW()-8,"##")&amp;"]","")</f>
        <v/>
      </c>
      <c r="B13" s="90" t="inlineStr">
        <is>
          <t>Gỡ một người nhận khỏi mục [Cc] trước khi gửi Trả lời tất cả</t>
        </is>
      </c>
      <c r="C13" s="90" t="inlineStr">
        <is>
          <t>Điều kiện tiên quyết:
+ Mở một email có nhiều người nhận, trong đó có ["23130217@st.hcmuaf.edu.vn"] ở mục CC
Các bước thực hiện:
1. Nhấp nút [Trả lời tất cả]
2. Nhấp dấu [x] cạnh ["23130217@st.hcmuaf.edu.vn"] trong ô [Cc]
3. Nhập nội dung và nhấp nút [Gửi]</t>
        </is>
      </c>
      <c r="D13" s="90" t="inlineStr">
        <is>
          <t>2. Địa chỉ "23130217@st.hcmuaf.edu.vn" bị gỡ khỏi ô [Cc].
3. Thư được gửi thành công đến những người nhận còn lại; "23130217@st.hcmuaf.edu.vn" không nhận được thư.</t>
        </is>
      </c>
      <c r="E13" s="91" t="n"/>
      <c r="F13" s="89" t="inlineStr">
        <is>
          <t>Untested</t>
        </is>
      </c>
      <c r="G13" s="92" t="n"/>
      <c r="H13" s="93" t="n"/>
      <c r="I13" s="94" t="n"/>
      <c r="J13" s="95" t="n"/>
      <c r="K13" s="95" t="n"/>
      <c r="L13" s="95" t="n"/>
      <c r="M13" s="95" t="n"/>
      <c r="N13" s="95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  <c r="Y13" s="95" t="n"/>
      <c r="Z13" s="95" t="n"/>
    </row>
    <row r="14" ht="54" customHeight="1" s="150">
      <c r="A14" s="89">
        <f>IF(OR(B14&lt;&gt;"",D14&lt;&gt;""),"["&amp;TEXT($B$2,"##")&amp;"-"&amp;TEXT(ROW()-8,"##")&amp;"]","")</f>
        <v/>
      </c>
      <c r="B14" s="90" t="inlineStr">
        <is>
          <t>Gửi Trả lời tất cả khi để trống nội dung</t>
        </is>
      </c>
      <c r="C14" s="90" t="inlineStr">
        <is>
          <t>Các bước thực hiện:
1. Nhấp nút [Trả lời tất cả]
2. Để trống phần nội dung thư
3. Nhấp nút [Gửi]</t>
        </is>
      </c>
      <c r="D14" s="90" t="inlineStr">
        <is>
          <t>3. Hiển thị hộp thoại cảnh báo gửi thư không có nội dung; thư chỉ được gửi đi khi người dùng xác nhận gửi.</t>
        </is>
      </c>
      <c r="E14" s="91" t="n"/>
      <c r="F14" s="89" t="inlineStr">
        <is>
          <t>Untested</t>
        </is>
      </c>
      <c r="G14" s="92" t="n"/>
      <c r="H14" s="93" t="n"/>
      <c r="I14" s="94" t="n"/>
      <c r="J14" s="95" t="n"/>
      <c r="K14" s="95" t="n"/>
      <c r="L14" s="95" t="n"/>
      <c r="M14" s="95" t="n"/>
      <c r="N14" s="95" t="n"/>
      <c r="O14" s="95" t="n"/>
      <c r="P14" s="95" t="n"/>
      <c r="Q14" s="95" t="n"/>
      <c r="R14" s="95" t="n"/>
      <c r="S14" s="95" t="n"/>
      <c r="T14" s="95" t="n"/>
      <c r="U14" s="95" t="n"/>
      <c r="V14" s="95" t="n"/>
      <c r="W14" s="95" t="n"/>
      <c r="X14" s="95" t="n"/>
      <c r="Y14" s="95" t="n"/>
      <c r="Z14" s="95" t="n"/>
    </row>
    <row r="15" ht="12.75" customHeight="1" s="150">
      <c r="A15" s="7" t="n"/>
      <c r="B15" s="7" t="n"/>
      <c r="C15" s="7" t="n"/>
      <c r="D15" s="7" t="n"/>
      <c r="E15" s="7" t="n"/>
      <c r="F15" s="7" t="n"/>
      <c r="G15" s="7" t="n"/>
      <c r="H15" s="7" t="n"/>
      <c r="I15" s="96" t="n"/>
      <c r="J15" s="76" t="n"/>
      <c r="K15" s="76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 s="150">
      <c r="A16" s="7" t="n"/>
      <c r="B16" s="7" t="n"/>
      <c r="C16" s="7" t="n"/>
      <c r="D16" s="7" t="n"/>
      <c r="E16" s="7" t="n"/>
      <c r="F16" s="7" t="n"/>
      <c r="G16" s="7" t="n"/>
      <c r="H16" s="7" t="n"/>
      <c r="I16" s="94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 s="150">
      <c r="A17" s="7" t="n"/>
      <c r="B17" s="7" t="n"/>
      <c r="C17" s="7" t="n"/>
      <c r="D17" s="7" t="n"/>
      <c r="E17" s="7" t="n"/>
      <c r="F17" s="7" t="n"/>
      <c r="G17" s="7" t="n"/>
      <c r="H17" s="7" t="n"/>
      <c r="I17" s="9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50">
      <c r="A18" s="7" t="n"/>
      <c r="B18" s="7" t="n"/>
      <c r="C18" s="7" t="n"/>
      <c r="D18" s="7" t="n"/>
      <c r="E18" s="7" t="n"/>
      <c r="F18" s="7" t="n"/>
      <c r="G18" s="7" t="n"/>
      <c r="H18" s="7" t="n"/>
      <c r="I18" s="9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50">
      <c r="A19" s="7" t="n"/>
      <c r="B19" s="7" t="n"/>
      <c r="C19" s="7" t="n"/>
      <c r="D19" s="7" t="n"/>
      <c r="E19" s="7" t="n"/>
      <c r="F19" s="7" t="n"/>
      <c r="G19" s="7" t="n"/>
      <c r="H19" s="7" t="n"/>
      <c r="I19" s="9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50">
      <c r="A20" s="7" t="n"/>
      <c r="B20" s="7" t="n"/>
      <c r="C20" s="7" t="n"/>
      <c r="D20" s="7" t="n"/>
      <c r="E20" s="7" t="n"/>
      <c r="F20" s="7" t="n"/>
      <c r="G20" s="7" t="n"/>
      <c r="H20" s="7" t="n"/>
      <c r="I20" s="9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50">
      <c r="A21" s="7" t="n"/>
      <c r="B21" s="7" t="n"/>
      <c r="C21" s="7" t="n"/>
      <c r="D21" s="7" t="n"/>
      <c r="E21" s="7" t="n"/>
      <c r="F21" s="7" t="n"/>
      <c r="G21" s="7" t="n"/>
      <c r="H21" s="7" t="n"/>
      <c r="I21" s="9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50">
      <c r="A22" s="7" t="n"/>
      <c r="B22" s="7" t="n"/>
      <c r="C22" s="7" t="n"/>
      <c r="D22" s="7" t="n"/>
      <c r="E22" s="7" t="n"/>
      <c r="F22" s="7" t="n"/>
      <c r="G22" s="7" t="n"/>
      <c r="H22" s="7" t="n"/>
      <c r="I22" s="9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50">
      <c r="A23" s="7" t="n"/>
      <c r="B23" s="7" t="n"/>
      <c r="C23" s="7" t="n"/>
      <c r="D23" s="7" t="n"/>
      <c r="E23" s="7" t="n"/>
      <c r="F23" s="7" t="n"/>
      <c r="G23" s="7" t="n"/>
      <c r="H23" s="7" t="n"/>
      <c r="I23" s="9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50">
      <c r="A24" s="7" t="n"/>
      <c r="B24" s="7" t="n"/>
      <c r="C24" s="7" t="n"/>
      <c r="D24" s="7" t="n"/>
      <c r="E24" s="7" t="n"/>
      <c r="F24" s="7" t="n"/>
      <c r="G24" s="7" t="n"/>
      <c r="H24" s="7" t="n"/>
      <c r="I24" s="9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50">
      <c r="A25" s="7" t="n"/>
      <c r="B25" s="7" t="n"/>
      <c r="C25" s="7" t="n"/>
      <c r="D25" s="7" t="n"/>
      <c r="E25" s="7" t="n"/>
      <c r="F25" s="7" t="n"/>
      <c r="G25" s="7" t="n"/>
      <c r="H25" s="7" t="n"/>
      <c r="I25" s="9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50">
      <c r="A26" s="7" t="n"/>
      <c r="B26" s="7" t="n"/>
      <c r="C26" s="7" t="n"/>
      <c r="D26" s="7" t="n"/>
      <c r="E26" s="7" t="n"/>
      <c r="F26" s="7" t="n"/>
      <c r="G26" s="7" t="n"/>
      <c r="H26" s="7" t="n"/>
      <c r="I26" s="9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50">
      <c r="A27" s="7" t="n"/>
      <c r="B27" s="7" t="n"/>
      <c r="C27" s="7" t="n"/>
      <c r="D27" s="7" t="n"/>
      <c r="E27" s="7" t="n"/>
      <c r="F27" s="7" t="n"/>
      <c r="G27" s="7" t="n"/>
      <c r="H27" s="7" t="n"/>
      <c r="I27" s="9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50">
      <c r="A28" s="7" t="n"/>
      <c r="B28" s="7" t="n"/>
      <c r="C28" s="7" t="n"/>
      <c r="D28" s="7" t="n"/>
      <c r="E28" s="7" t="n"/>
      <c r="F28" s="7" t="n"/>
      <c r="G28" s="7" t="n"/>
      <c r="H28" s="7" t="n"/>
      <c r="I28" s="9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50">
      <c r="A29" s="7" t="n"/>
      <c r="B29" s="7" t="n"/>
      <c r="C29" s="7" t="n"/>
      <c r="D29" s="7" t="n"/>
      <c r="E29" s="7" t="n"/>
      <c r="F29" s="7" t="n"/>
      <c r="G29" s="7" t="n"/>
      <c r="H29" s="7" t="n"/>
      <c r="I29" s="9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50">
      <c r="A30" s="7" t="n"/>
      <c r="B30" s="7" t="n"/>
      <c r="C30" s="7" t="n"/>
      <c r="D30" s="7" t="n"/>
      <c r="E30" s="7" t="n"/>
      <c r="F30" s="7" t="n"/>
      <c r="G30" s="7" t="n"/>
      <c r="H30" s="7" t="n"/>
      <c r="I30" s="9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50">
      <c r="A31" s="7" t="n"/>
      <c r="B31" s="7" t="n"/>
      <c r="C31" s="7" t="n"/>
      <c r="D31" s="7" t="n"/>
      <c r="E31" s="7" t="n"/>
      <c r="F31" s="7" t="n"/>
      <c r="G31" s="7" t="n"/>
      <c r="H31" s="7" t="n"/>
      <c r="I31" s="9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50">
      <c r="A32" s="7" t="n"/>
      <c r="B32" s="7" t="n"/>
      <c r="C32" s="7" t="n"/>
      <c r="D32" s="7" t="n"/>
      <c r="E32" s="7" t="n"/>
      <c r="F32" s="7" t="n"/>
      <c r="G32" s="7" t="n"/>
      <c r="H32" s="7" t="n"/>
      <c r="I32" s="9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50">
      <c r="A33" s="7" t="n"/>
      <c r="B33" s="7" t="n"/>
      <c r="C33" s="7" t="n"/>
      <c r="D33" s="7" t="n"/>
      <c r="E33" s="7" t="n"/>
      <c r="F33" s="7" t="n"/>
      <c r="G33" s="7" t="n"/>
      <c r="H33" s="7" t="n"/>
      <c r="I33" s="9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50">
      <c r="A34" s="7" t="n"/>
      <c r="B34" s="7" t="n"/>
      <c r="C34" s="7" t="n"/>
      <c r="D34" s="7" t="n"/>
      <c r="E34" s="7" t="n"/>
      <c r="F34" s="7" t="n"/>
      <c r="G34" s="7" t="n"/>
      <c r="H34" s="7" t="n"/>
      <c r="I34" s="9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50">
      <c r="A35" s="7" t="n"/>
      <c r="B35" s="7" t="n"/>
      <c r="C35" s="7" t="n"/>
      <c r="D35" s="7" t="n"/>
      <c r="E35" s="7" t="n"/>
      <c r="F35" s="7" t="n"/>
      <c r="G35" s="7" t="n"/>
      <c r="H35" s="7" t="n"/>
      <c r="I35" s="9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50">
      <c r="A36" s="7" t="n"/>
      <c r="B36" s="7" t="n"/>
      <c r="C36" s="7" t="n"/>
      <c r="D36" s="7" t="n"/>
      <c r="E36" s="7" t="n"/>
      <c r="F36" s="7" t="n"/>
      <c r="G36" s="7" t="n"/>
      <c r="H36" s="7" t="n"/>
      <c r="I36" s="9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50">
      <c r="A37" s="7" t="n"/>
      <c r="B37" s="7" t="n"/>
      <c r="C37" s="7" t="n"/>
      <c r="D37" s="7" t="n"/>
      <c r="E37" s="7" t="n"/>
      <c r="F37" s="7" t="n"/>
      <c r="G37" s="7" t="n"/>
      <c r="H37" s="7" t="n"/>
      <c r="I37" s="9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50">
      <c r="A38" s="7" t="n"/>
      <c r="B38" s="7" t="n"/>
      <c r="C38" s="7" t="n"/>
      <c r="D38" s="7" t="n"/>
      <c r="E38" s="7" t="n"/>
      <c r="F38" s="7" t="n"/>
      <c r="G38" s="7" t="n"/>
      <c r="H38" s="7" t="n"/>
      <c r="I38" s="9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50">
      <c r="A39" s="7" t="n"/>
      <c r="B39" s="7" t="n"/>
      <c r="C39" s="7" t="n"/>
      <c r="D39" s="7" t="n"/>
      <c r="E39" s="7" t="n"/>
      <c r="F39" s="7" t="n"/>
      <c r="G39" s="7" t="n"/>
      <c r="H39" s="7" t="n"/>
      <c r="I39" s="9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50">
      <c r="A40" s="7" t="n"/>
      <c r="B40" s="7" t="n"/>
      <c r="C40" s="7" t="n"/>
      <c r="D40" s="7" t="n"/>
      <c r="E40" s="7" t="n"/>
      <c r="F40" s="7" t="n"/>
      <c r="G40" s="7" t="n"/>
      <c r="H40" s="7" t="n"/>
      <c r="I40" s="9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50">
      <c r="A41" s="7" t="n"/>
      <c r="B41" s="7" t="n"/>
      <c r="C41" s="7" t="n"/>
      <c r="D41" s="7" t="n"/>
      <c r="E41" s="7" t="n"/>
      <c r="F41" s="7" t="n"/>
      <c r="G41" s="7" t="n"/>
      <c r="H41" s="7" t="n"/>
      <c r="I41" s="9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50">
      <c r="A42" s="7" t="n"/>
      <c r="B42" s="7" t="n"/>
      <c r="C42" s="7" t="n"/>
      <c r="D42" s="7" t="n"/>
      <c r="E42" s="7" t="n"/>
      <c r="F42" s="7" t="n"/>
      <c r="G42" s="7" t="n"/>
      <c r="H42" s="7" t="n"/>
      <c r="I42" s="9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50">
      <c r="A43" s="7" t="n"/>
      <c r="B43" s="7" t="n"/>
      <c r="C43" s="7" t="n"/>
      <c r="D43" s="7" t="n"/>
      <c r="E43" s="7" t="n"/>
      <c r="F43" s="7" t="n"/>
      <c r="G43" s="7" t="n"/>
      <c r="H43" s="7" t="n"/>
      <c r="I43" s="9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50">
      <c r="A44" s="7" t="n"/>
      <c r="B44" s="7" t="n"/>
      <c r="C44" s="7" t="n"/>
      <c r="D44" s="7" t="n"/>
      <c r="E44" s="7" t="n"/>
      <c r="F44" s="7" t="n"/>
      <c r="G44" s="7" t="n"/>
      <c r="H44" s="7" t="n"/>
      <c r="I44" s="9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50">
      <c r="A45" s="7" t="n"/>
      <c r="B45" s="7" t="n"/>
      <c r="C45" s="7" t="n"/>
      <c r="D45" s="7" t="n"/>
      <c r="E45" s="7" t="n"/>
      <c r="F45" s="7" t="n"/>
      <c r="G45" s="7" t="n"/>
      <c r="H45" s="7" t="n"/>
      <c r="I45" s="9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50">
      <c r="A46" s="7" t="n"/>
      <c r="B46" s="7" t="n"/>
      <c r="C46" s="7" t="n"/>
      <c r="D46" s="7" t="n"/>
      <c r="E46" s="7" t="n"/>
      <c r="F46" s="7" t="n"/>
      <c r="G46" s="7" t="n"/>
      <c r="H46" s="7" t="n"/>
      <c r="I46" s="9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50">
      <c r="A47" s="7" t="n"/>
      <c r="B47" s="7" t="n"/>
      <c r="C47" s="7" t="n"/>
      <c r="D47" s="7" t="n"/>
      <c r="E47" s="7" t="n"/>
      <c r="F47" s="7" t="n"/>
      <c r="G47" s="7" t="n"/>
      <c r="H47" s="7" t="n"/>
      <c r="I47" s="9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50">
      <c r="A48" s="7" t="n"/>
      <c r="B48" s="7" t="n"/>
      <c r="C48" s="7" t="n"/>
      <c r="D48" s="7" t="n"/>
      <c r="E48" s="7" t="n"/>
      <c r="F48" s="7" t="n"/>
      <c r="G48" s="7" t="n"/>
      <c r="H48" s="7" t="n"/>
      <c r="I48" s="9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50">
      <c r="A49" s="7" t="n"/>
      <c r="B49" s="7" t="n"/>
      <c r="C49" s="7" t="n"/>
      <c r="D49" s="7" t="n"/>
      <c r="E49" s="7" t="n"/>
      <c r="F49" s="7" t="n"/>
      <c r="G49" s="7" t="n"/>
      <c r="H49" s="7" t="n"/>
      <c r="I49" s="9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50">
      <c r="A50" s="7" t="n"/>
      <c r="B50" s="7" t="n"/>
      <c r="C50" s="7" t="n"/>
      <c r="D50" s="7" t="n"/>
      <c r="E50" s="7" t="n"/>
      <c r="F50" s="7" t="n"/>
      <c r="G50" s="7" t="n"/>
      <c r="H50" s="7" t="n"/>
      <c r="I50" s="9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50">
      <c r="A51" s="7" t="n"/>
      <c r="B51" s="7" t="n"/>
      <c r="C51" s="7" t="n"/>
      <c r="D51" s="7" t="n"/>
      <c r="E51" s="7" t="n"/>
      <c r="F51" s="7" t="n"/>
      <c r="G51" s="7" t="n"/>
      <c r="H51" s="7" t="n"/>
      <c r="I51" s="9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50">
      <c r="A52" s="7" t="n"/>
      <c r="B52" s="7" t="n"/>
      <c r="C52" s="7" t="n"/>
      <c r="D52" s="7" t="n"/>
      <c r="E52" s="7" t="n"/>
      <c r="F52" s="7" t="n"/>
      <c r="G52" s="7" t="n"/>
      <c r="H52" s="7" t="n"/>
      <c r="I52" s="9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50">
      <c r="A53" s="7" t="n"/>
      <c r="B53" s="7" t="n"/>
      <c r="C53" s="7" t="n"/>
      <c r="D53" s="7" t="n"/>
      <c r="E53" s="7" t="n"/>
      <c r="F53" s="7" t="n"/>
      <c r="G53" s="7" t="n"/>
      <c r="H53" s="7" t="n"/>
      <c r="I53" s="9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50">
      <c r="A54" s="7" t="n"/>
      <c r="B54" s="7" t="n"/>
      <c r="C54" s="7" t="n"/>
      <c r="D54" s="7" t="n"/>
      <c r="E54" s="7" t="n"/>
      <c r="F54" s="7" t="n"/>
      <c r="G54" s="7" t="n"/>
      <c r="H54" s="7" t="n"/>
      <c r="I54" s="9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50">
      <c r="A55" s="7" t="n"/>
      <c r="B55" s="7" t="n"/>
      <c r="C55" s="7" t="n"/>
      <c r="D55" s="7" t="n"/>
      <c r="E55" s="7" t="n"/>
      <c r="F55" s="7" t="n"/>
      <c r="G55" s="7" t="n"/>
      <c r="H55" s="7" t="n"/>
      <c r="I55" s="9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50">
      <c r="A56" s="7" t="n"/>
      <c r="B56" s="7" t="n"/>
      <c r="C56" s="7" t="n"/>
      <c r="D56" s="7" t="n"/>
      <c r="E56" s="7" t="n"/>
      <c r="F56" s="7" t="n"/>
      <c r="G56" s="7" t="n"/>
      <c r="H56" s="7" t="n"/>
      <c r="I56" s="9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50">
      <c r="A57" s="7" t="n"/>
      <c r="B57" s="7" t="n"/>
      <c r="C57" s="7" t="n"/>
      <c r="D57" s="7" t="n"/>
      <c r="E57" s="7" t="n"/>
      <c r="F57" s="7" t="n"/>
      <c r="G57" s="7" t="n"/>
      <c r="H57" s="7" t="n"/>
      <c r="I57" s="9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50">
      <c r="A58" s="7" t="n"/>
      <c r="B58" s="7" t="n"/>
      <c r="C58" s="7" t="n"/>
      <c r="D58" s="7" t="n"/>
      <c r="E58" s="7" t="n"/>
      <c r="F58" s="7" t="n"/>
      <c r="G58" s="7" t="n"/>
      <c r="H58" s="7" t="n"/>
      <c r="I58" s="9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50">
      <c r="A59" s="7" t="n"/>
      <c r="B59" s="7" t="n"/>
      <c r="C59" s="7" t="n"/>
      <c r="D59" s="7" t="n"/>
      <c r="E59" s="7" t="n"/>
      <c r="F59" s="7" t="n"/>
      <c r="G59" s="7" t="n"/>
      <c r="H59" s="7" t="n"/>
      <c r="I59" s="9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50">
      <c r="A60" s="7" t="n"/>
      <c r="B60" s="7" t="n"/>
      <c r="C60" s="7" t="n"/>
      <c r="D60" s="7" t="n"/>
      <c r="E60" s="7" t="n"/>
      <c r="F60" s="7" t="n"/>
      <c r="G60" s="7" t="n"/>
      <c r="H60" s="7" t="n"/>
      <c r="I60" s="9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50">
      <c r="A61" s="7" t="n"/>
      <c r="B61" s="7" t="n"/>
      <c r="C61" s="7" t="n"/>
      <c r="D61" s="7" t="n"/>
      <c r="E61" s="7" t="n"/>
      <c r="F61" s="7" t="n"/>
      <c r="G61" s="7" t="n"/>
      <c r="H61" s="7" t="n"/>
      <c r="I61" s="9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50">
      <c r="A62" s="7" t="n"/>
      <c r="B62" s="7" t="n"/>
      <c r="C62" s="7" t="n"/>
      <c r="D62" s="7" t="n"/>
      <c r="E62" s="7" t="n"/>
      <c r="F62" s="7" t="n"/>
      <c r="G62" s="7" t="n"/>
      <c r="H62" s="7" t="n"/>
      <c r="I62" s="9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50">
      <c r="A63" s="7" t="n"/>
      <c r="B63" s="7" t="n"/>
      <c r="C63" s="7" t="n"/>
      <c r="D63" s="7" t="n"/>
      <c r="E63" s="7" t="n"/>
      <c r="F63" s="7" t="n"/>
      <c r="G63" s="7" t="n"/>
      <c r="H63" s="7" t="n"/>
      <c r="I63" s="9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50">
      <c r="A64" s="7" t="n"/>
      <c r="B64" s="7" t="n"/>
      <c r="C64" s="7" t="n"/>
      <c r="D64" s="7" t="n"/>
      <c r="E64" s="7" t="n"/>
      <c r="F64" s="7" t="n"/>
      <c r="G64" s="7" t="n"/>
      <c r="H64" s="7" t="n"/>
      <c r="I64" s="9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50">
      <c r="A65" s="7" t="n"/>
      <c r="B65" s="7" t="n"/>
      <c r="C65" s="7" t="n"/>
      <c r="D65" s="7" t="n"/>
      <c r="E65" s="7" t="n"/>
      <c r="F65" s="7" t="n"/>
      <c r="G65" s="7" t="n"/>
      <c r="H65" s="7" t="n"/>
      <c r="I65" s="9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50">
      <c r="A66" s="7" t="n"/>
      <c r="B66" s="7" t="n"/>
      <c r="C66" s="7" t="n"/>
      <c r="D66" s="7" t="n"/>
      <c r="E66" s="7" t="n"/>
      <c r="F66" s="7" t="n"/>
      <c r="G66" s="7" t="n"/>
      <c r="H66" s="7" t="n"/>
      <c r="I66" s="9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50">
      <c r="A67" s="7" t="n"/>
      <c r="B67" s="7" t="n"/>
      <c r="C67" s="7" t="n"/>
      <c r="D67" s="7" t="n"/>
      <c r="E67" s="7" t="n"/>
      <c r="F67" s="7" t="n"/>
      <c r="G67" s="7" t="n"/>
      <c r="H67" s="7" t="n"/>
      <c r="I67" s="9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50">
      <c r="A68" s="7" t="n"/>
      <c r="B68" s="7" t="n"/>
      <c r="C68" s="7" t="n"/>
      <c r="D68" s="7" t="n"/>
      <c r="E68" s="7" t="n"/>
      <c r="F68" s="7" t="n"/>
      <c r="G68" s="7" t="n"/>
      <c r="H68" s="7" t="n"/>
      <c r="I68" s="9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50">
      <c r="A69" s="7" t="n"/>
      <c r="B69" s="7" t="n"/>
      <c r="C69" s="7" t="n"/>
      <c r="D69" s="7" t="n"/>
      <c r="E69" s="7" t="n"/>
      <c r="F69" s="7" t="n"/>
      <c r="G69" s="7" t="n"/>
      <c r="H69" s="7" t="n"/>
      <c r="I69" s="9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50">
      <c r="A70" s="7" t="n"/>
      <c r="B70" s="7" t="n"/>
      <c r="C70" s="7" t="n"/>
      <c r="D70" s="7" t="n"/>
      <c r="E70" s="7" t="n"/>
      <c r="F70" s="7" t="n"/>
      <c r="G70" s="7" t="n"/>
      <c r="H70" s="7" t="n"/>
      <c r="I70" s="9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50">
      <c r="A71" s="7" t="n"/>
      <c r="B71" s="7" t="n"/>
      <c r="C71" s="7" t="n"/>
      <c r="D71" s="7" t="n"/>
      <c r="E71" s="7" t="n"/>
      <c r="F71" s="7" t="n"/>
      <c r="G71" s="7" t="n"/>
      <c r="H71" s="7" t="n"/>
      <c r="I71" s="9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50">
      <c r="A72" s="7" t="n"/>
      <c r="B72" s="7" t="n"/>
      <c r="C72" s="7" t="n"/>
      <c r="D72" s="7" t="n"/>
      <c r="E72" s="7" t="n"/>
      <c r="F72" s="7" t="n"/>
      <c r="G72" s="7" t="n"/>
      <c r="H72" s="7" t="n"/>
      <c r="I72" s="9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50">
      <c r="A73" s="7" t="n"/>
      <c r="B73" s="7" t="n"/>
      <c r="C73" s="7" t="n"/>
      <c r="D73" s="7" t="n"/>
      <c r="E73" s="7" t="n"/>
      <c r="F73" s="7" t="n"/>
      <c r="G73" s="7" t="n"/>
      <c r="H73" s="7" t="n"/>
      <c r="I73" s="9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50">
      <c r="A74" s="7" t="n"/>
      <c r="B74" s="7" t="n"/>
      <c r="C74" s="7" t="n"/>
      <c r="D74" s="7" t="n"/>
      <c r="E74" s="7" t="n"/>
      <c r="F74" s="7" t="n"/>
      <c r="G74" s="7" t="n"/>
      <c r="H74" s="7" t="n"/>
      <c r="I74" s="9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50">
      <c r="A75" s="7" t="n"/>
      <c r="B75" s="7" t="n"/>
      <c r="C75" s="7" t="n"/>
      <c r="D75" s="7" t="n"/>
      <c r="E75" s="7" t="n"/>
      <c r="F75" s="7" t="n"/>
      <c r="G75" s="7" t="n"/>
      <c r="H75" s="7" t="n"/>
      <c r="I75" s="9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50">
      <c r="A76" s="7" t="n"/>
      <c r="B76" s="7" t="n"/>
      <c r="C76" s="7" t="n"/>
      <c r="D76" s="7" t="n"/>
      <c r="E76" s="7" t="n"/>
      <c r="F76" s="7" t="n"/>
      <c r="G76" s="7" t="n"/>
      <c r="H76" s="7" t="n"/>
      <c r="I76" s="9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50">
      <c r="A77" s="7" t="n"/>
      <c r="B77" s="7" t="n"/>
      <c r="C77" s="7" t="n"/>
      <c r="D77" s="7" t="n"/>
      <c r="E77" s="7" t="n"/>
      <c r="F77" s="7" t="n"/>
      <c r="G77" s="7" t="n"/>
      <c r="H77" s="7" t="n"/>
      <c r="I77" s="9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50">
      <c r="A78" s="7" t="n"/>
      <c r="B78" s="7" t="n"/>
      <c r="C78" s="7" t="n"/>
      <c r="D78" s="7" t="n"/>
      <c r="E78" s="7" t="n"/>
      <c r="F78" s="7" t="n"/>
      <c r="G78" s="7" t="n"/>
      <c r="H78" s="7" t="n"/>
      <c r="I78" s="9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50">
      <c r="A79" s="7" t="n"/>
      <c r="B79" s="7" t="n"/>
      <c r="C79" s="7" t="n"/>
      <c r="D79" s="7" t="n"/>
      <c r="E79" s="7" t="n"/>
      <c r="F79" s="7" t="n"/>
      <c r="G79" s="7" t="n"/>
      <c r="H79" s="7" t="n"/>
      <c r="I79" s="9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50">
      <c r="A80" s="7" t="n"/>
      <c r="B80" s="7" t="n"/>
      <c r="C80" s="7" t="n"/>
      <c r="D80" s="7" t="n"/>
      <c r="E80" s="7" t="n"/>
      <c r="F80" s="7" t="n"/>
      <c r="G80" s="7" t="n"/>
      <c r="H80" s="7" t="n"/>
      <c r="I80" s="9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50">
      <c r="A81" s="7" t="n"/>
      <c r="B81" s="7" t="n"/>
      <c r="C81" s="7" t="n"/>
      <c r="D81" s="7" t="n"/>
      <c r="E81" s="7" t="n"/>
      <c r="F81" s="7" t="n"/>
      <c r="G81" s="7" t="n"/>
      <c r="H81" s="7" t="n"/>
      <c r="I81" s="9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50">
      <c r="A82" s="7" t="n"/>
      <c r="B82" s="7" t="n"/>
      <c r="C82" s="7" t="n"/>
      <c r="D82" s="7" t="n"/>
      <c r="E82" s="7" t="n"/>
      <c r="F82" s="7" t="n"/>
      <c r="G82" s="7" t="n"/>
      <c r="H82" s="7" t="n"/>
      <c r="I82" s="9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50">
      <c r="A83" s="7" t="n"/>
      <c r="B83" s="7" t="n"/>
      <c r="C83" s="7" t="n"/>
      <c r="D83" s="7" t="n"/>
      <c r="E83" s="7" t="n"/>
      <c r="F83" s="7" t="n"/>
      <c r="G83" s="7" t="n"/>
      <c r="H83" s="7" t="n"/>
      <c r="I83" s="9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50">
      <c r="A84" s="7" t="n"/>
      <c r="B84" s="7" t="n"/>
      <c r="C84" s="7" t="n"/>
      <c r="D84" s="7" t="n"/>
      <c r="E84" s="7" t="n"/>
      <c r="F84" s="7" t="n"/>
      <c r="G84" s="7" t="n"/>
      <c r="H84" s="7" t="n"/>
      <c r="I84" s="9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50">
      <c r="A85" s="7" t="n"/>
      <c r="B85" s="7" t="n"/>
      <c r="C85" s="7" t="n"/>
      <c r="D85" s="7" t="n"/>
      <c r="E85" s="7" t="n"/>
      <c r="F85" s="7" t="n"/>
      <c r="G85" s="7" t="n"/>
      <c r="H85" s="7" t="n"/>
      <c r="I85" s="9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50">
      <c r="A86" s="7" t="n"/>
      <c r="B86" s="7" t="n"/>
      <c r="C86" s="7" t="n"/>
      <c r="D86" s="7" t="n"/>
      <c r="E86" s="7" t="n"/>
      <c r="F86" s="7" t="n"/>
      <c r="G86" s="7" t="n"/>
      <c r="H86" s="7" t="n"/>
      <c r="I86" s="9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50">
      <c r="A87" s="7" t="n"/>
      <c r="B87" s="7" t="n"/>
      <c r="C87" s="7" t="n"/>
      <c r="D87" s="7" t="n"/>
      <c r="E87" s="7" t="n"/>
      <c r="F87" s="7" t="n"/>
      <c r="G87" s="7" t="n"/>
      <c r="H87" s="7" t="n"/>
      <c r="I87" s="9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50">
      <c r="A88" s="7" t="n"/>
      <c r="B88" s="7" t="n"/>
      <c r="C88" s="7" t="n"/>
      <c r="D88" s="7" t="n"/>
      <c r="E88" s="7" t="n"/>
      <c r="F88" s="7" t="n"/>
      <c r="G88" s="7" t="n"/>
      <c r="H88" s="7" t="n"/>
      <c r="I88" s="9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50">
      <c r="A89" s="7" t="n"/>
      <c r="B89" s="7" t="n"/>
      <c r="C89" s="7" t="n"/>
      <c r="D89" s="7" t="n"/>
      <c r="E89" s="7" t="n"/>
      <c r="F89" s="7" t="n"/>
      <c r="G89" s="7" t="n"/>
      <c r="H89" s="7" t="n"/>
      <c r="I89" s="9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50">
      <c r="A90" s="7" t="n"/>
      <c r="B90" s="7" t="n"/>
      <c r="C90" s="7" t="n"/>
      <c r="D90" s="7" t="n"/>
      <c r="E90" s="7" t="n"/>
      <c r="F90" s="7" t="n"/>
      <c r="G90" s="7" t="n"/>
      <c r="H90" s="7" t="n"/>
      <c r="I90" s="9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50">
      <c r="A91" s="7" t="n"/>
      <c r="B91" s="7" t="n"/>
      <c r="C91" s="7" t="n"/>
      <c r="D91" s="7" t="n"/>
      <c r="E91" s="7" t="n"/>
      <c r="F91" s="7" t="n"/>
      <c r="G91" s="7" t="n"/>
      <c r="H91" s="7" t="n"/>
      <c r="I91" s="9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50">
      <c r="A92" s="7" t="n"/>
      <c r="B92" s="7" t="n"/>
      <c r="C92" s="7" t="n"/>
      <c r="D92" s="7" t="n"/>
      <c r="E92" s="7" t="n"/>
      <c r="F92" s="7" t="n"/>
      <c r="G92" s="7" t="n"/>
      <c r="H92" s="7" t="n"/>
      <c r="I92" s="9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50">
      <c r="A93" s="7" t="n"/>
      <c r="B93" s="7" t="n"/>
      <c r="C93" s="7" t="n"/>
      <c r="D93" s="7" t="n"/>
      <c r="E93" s="7" t="n"/>
      <c r="F93" s="7" t="n"/>
      <c r="G93" s="7" t="n"/>
      <c r="H93" s="7" t="n"/>
      <c r="I93" s="9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50">
      <c r="A94" s="7" t="n"/>
      <c r="B94" s="7" t="n"/>
      <c r="C94" s="7" t="n"/>
      <c r="D94" s="7" t="n"/>
      <c r="E94" s="7" t="n"/>
      <c r="F94" s="7" t="n"/>
      <c r="G94" s="7" t="n"/>
      <c r="H94" s="7" t="n"/>
      <c r="I94" s="9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50">
      <c r="A95" s="7" t="n"/>
      <c r="B95" s="7" t="n"/>
      <c r="C95" s="7" t="n"/>
      <c r="D95" s="7" t="n"/>
      <c r="E95" s="7" t="n"/>
      <c r="F95" s="7" t="n"/>
      <c r="G95" s="7" t="n"/>
      <c r="H95" s="7" t="n"/>
      <c r="I95" s="9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50">
      <c r="A96" s="7" t="n"/>
      <c r="B96" s="7" t="n"/>
      <c r="C96" s="7" t="n"/>
      <c r="D96" s="7" t="n"/>
      <c r="E96" s="7" t="n"/>
      <c r="F96" s="7" t="n"/>
      <c r="G96" s="7" t="n"/>
      <c r="H96" s="7" t="n"/>
      <c r="I96" s="9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50">
      <c r="A97" s="7" t="n"/>
      <c r="B97" s="7" t="n"/>
      <c r="C97" s="7" t="n"/>
      <c r="D97" s="7" t="n"/>
      <c r="E97" s="7" t="n"/>
      <c r="F97" s="7" t="n"/>
      <c r="G97" s="7" t="n"/>
      <c r="H97" s="7" t="n"/>
      <c r="I97" s="9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50">
      <c r="A98" s="7" t="n"/>
      <c r="B98" s="7" t="n"/>
      <c r="C98" s="7" t="n"/>
      <c r="D98" s="7" t="n"/>
      <c r="E98" s="7" t="n"/>
      <c r="F98" s="7" t="n"/>
      <c r="G98" s="7" t="n"/>
      <c r="H98" s="7" t="n"/>
      <c r="I98" s="9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50">
      <c r="A99" s="7" t="n"/>
      <c r="B99" s="7" t="n"/>
      <c r="C99" s="7" t="n"/>
      <c r="D99" s="7" t="n"/>
      <c r="E99" s="7" t="n"/>
      <c r="F99" s="7" t="n"/>
      <c r="G99" s="7" t="n"/>
      <c r="H99" s="7" t="n"/>
      <c r="I99" s="9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5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9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50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9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5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9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50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9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5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9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50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9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5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9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50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9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5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9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50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9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5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9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50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9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5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9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50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9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5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9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50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9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5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9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50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9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5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9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50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9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5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9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50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9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5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9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50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9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5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9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50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9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5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9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50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9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5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9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50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9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5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9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50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9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5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9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50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9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5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9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50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9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5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9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50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9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5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9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50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9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5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9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50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9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5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9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50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9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5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9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50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9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5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9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50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9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5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9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50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9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9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50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9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5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9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50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9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5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9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50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9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5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9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50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9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5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9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50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9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5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9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50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9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5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9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50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9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5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9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50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9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5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9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50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9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5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9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50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9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5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9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50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9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5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9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50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9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5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9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50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9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5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9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50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9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5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9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50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9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5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9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50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9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5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9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50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9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5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9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50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9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5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9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50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9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5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9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50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9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5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9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50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9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5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9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50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9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5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9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50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9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5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9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50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9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5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9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50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9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5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9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50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9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5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9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50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9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50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9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50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9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50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9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50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9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50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9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50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9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5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9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50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9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50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9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50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9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50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9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50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9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50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9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50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9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50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9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50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9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5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9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50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9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50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9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50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9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50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9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50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9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50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9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50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9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50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9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50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9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5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9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50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9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50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9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50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9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50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9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50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9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50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9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50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9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50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9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50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9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5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9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50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9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50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9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50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9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50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9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50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9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50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9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50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9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50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9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50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9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9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50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9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50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9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50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9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50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9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50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9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50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9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50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9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50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9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50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9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5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9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50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9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50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9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50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9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50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9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50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9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50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9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50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9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50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9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50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9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5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9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50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9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50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9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50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9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50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9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50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9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50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9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50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9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50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9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50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9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5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9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50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9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50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9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50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9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50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9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50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9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50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9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50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9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50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9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50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9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5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9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50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9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50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9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50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9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50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9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50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9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50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9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50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9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50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9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50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9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5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9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50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9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50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9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50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9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50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9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50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9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50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9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50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9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50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9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50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9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5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9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50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9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50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9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50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9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50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9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50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9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50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9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50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9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50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9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50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9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5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9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50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9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50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9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50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9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50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9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50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9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50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9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50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9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50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9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50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9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5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9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50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9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50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9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50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9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50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9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50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9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50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9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50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9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50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9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50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9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5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9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50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9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50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9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50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9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50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9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50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9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50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9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50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9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50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9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50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9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9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50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9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50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9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50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9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50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9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50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9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50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9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50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9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50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9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50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9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5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9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50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9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50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9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50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9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50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9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50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9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50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9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50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9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50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9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50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9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5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9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50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9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50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9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50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9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50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9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50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9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50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9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50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9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50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9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50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9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5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9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50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9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50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9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50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9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50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9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50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9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50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9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50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9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50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9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50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9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5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9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50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9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50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9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50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9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50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9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50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9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50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9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50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9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50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9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50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9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5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9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50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9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50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9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50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9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50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9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50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9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50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9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50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9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50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9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50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9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5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9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50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9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50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9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50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9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50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9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50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9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50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9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50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9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50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9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50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9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5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9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50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9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50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9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50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9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50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9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50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9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50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9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50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9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50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9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50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9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5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9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50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9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50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9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50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9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50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9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50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9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50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9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50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9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50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9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50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9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5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9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50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9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50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9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50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9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50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9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50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9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50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9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50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9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50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9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50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9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9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50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9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50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9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50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9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50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9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50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9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50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9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50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9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50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9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50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9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5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9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50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9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50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9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50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9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50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9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50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9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50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9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50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9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50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9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50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9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5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9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50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9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50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9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50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9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50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9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50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9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50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9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50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9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50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9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50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9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5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9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50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9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50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9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50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9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50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9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50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9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50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9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50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9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50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9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50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9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5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9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50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9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50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9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50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9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50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9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50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9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50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9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50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9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50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9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50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9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5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9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50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9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50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9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50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9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50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9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50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9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50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9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50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9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50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9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50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9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5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9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50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9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50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9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50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9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50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9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50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9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50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9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50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9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50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9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50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9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5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9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50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9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50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9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50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9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50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9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50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9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50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9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50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9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50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9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50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9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5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9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50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9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50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9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50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9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50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9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50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9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50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9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50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9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50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9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50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9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5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9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50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9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50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9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50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9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50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9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50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9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50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9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50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9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50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9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50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9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9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50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9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50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9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50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9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50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9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50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9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50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9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50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9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50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9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50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9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5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9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50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9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50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9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50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9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50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9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50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9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50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9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50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9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50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9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50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9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5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9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50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9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50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9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50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9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50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9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50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9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50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9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50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9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50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9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50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9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5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9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50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9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50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9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50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9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50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9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50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9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50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9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50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9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50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9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50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9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5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9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50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9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50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9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50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9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50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9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50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9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50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9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50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9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50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9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50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9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5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9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50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9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50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9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50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9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50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9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50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9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50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9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50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9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50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9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50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9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5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9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50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9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50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9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50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9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50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9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50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9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50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9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50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9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50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9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50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9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5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9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50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9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50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9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50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9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50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9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50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9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50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9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50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9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50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9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50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9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5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9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50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9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50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9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50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9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50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9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50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9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50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9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50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9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50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9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50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9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5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9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50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9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50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9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50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9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50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9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50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9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50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9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50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9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50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9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50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9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9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50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9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50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9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50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9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50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9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50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9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50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9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50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9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50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9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50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9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5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9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50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9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50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9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50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9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50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9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50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9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50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9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50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9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50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9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50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9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5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9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50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9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50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9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50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9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50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9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50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9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50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9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50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9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50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9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50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9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5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9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50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9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50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9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50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9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50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9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50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9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50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9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50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9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50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9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50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9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5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9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50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9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50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9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50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9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50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9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50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9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50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9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50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9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50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9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50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9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5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9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50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9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50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9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50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9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50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9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50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9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50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9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50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9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50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9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50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9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5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9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50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9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50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9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50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9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50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9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50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9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50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9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50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9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50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9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50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9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5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9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50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9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50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9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50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9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50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9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50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9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50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9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50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9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50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9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50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9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5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9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50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9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50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9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50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9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50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9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50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9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50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9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50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9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50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9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50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9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5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9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50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9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50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9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50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9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50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9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50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9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50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9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50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9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50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9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50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9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9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50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9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50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9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50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9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50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9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50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9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50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9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50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9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50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9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50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9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5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9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50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9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50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9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50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9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50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9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50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9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50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9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50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9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50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9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50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9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5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9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50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9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50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9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50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9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50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9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50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9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50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9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50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9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50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9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50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9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5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9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50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9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50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9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50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9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50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9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50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9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50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9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50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9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50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9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50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9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5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9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50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9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50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9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50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9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50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9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50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9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50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9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50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9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50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9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50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9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5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9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50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9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50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9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50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9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50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9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50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9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50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9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50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9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50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9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50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9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5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9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50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9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50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9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50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9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50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9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50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9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50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9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50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9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50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9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50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9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5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9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50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9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50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9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50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9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50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9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50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9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50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9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50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9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50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9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50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9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5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9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50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9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50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9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50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9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50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9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50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9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50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9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50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9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50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9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50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9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5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9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50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9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50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9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50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9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50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9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50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9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50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9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50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9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50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9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50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9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9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50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9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50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9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50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9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50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9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50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9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50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9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50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9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50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9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50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9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5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9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50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9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50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9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50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9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50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9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50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9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50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9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50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9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50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9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50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9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5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9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50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9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50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9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50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9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50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9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50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9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50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9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50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9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50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9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50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9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5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9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50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9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50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9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50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9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50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9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50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9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50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9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50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9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50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9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50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9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5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9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50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9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50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9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50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9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50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9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50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9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50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9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50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9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50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9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50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9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5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9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50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9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50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9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50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9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50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9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50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9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50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9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50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9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50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9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50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9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5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9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50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9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50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9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50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9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50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9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50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9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50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9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50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9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50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9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50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9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5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9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50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9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50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9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50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9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50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9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50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9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50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9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50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9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50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9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50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9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5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9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50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9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50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9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50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9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50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9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50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9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50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9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50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9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50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9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50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9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5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9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50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9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50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9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50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9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50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9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50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9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50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9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50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9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50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9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50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9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9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50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9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50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9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50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9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50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9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50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9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50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9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50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9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50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9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50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9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5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9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50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9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50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9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50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9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50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9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50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9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50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9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50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9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50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9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50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9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5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9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50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9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50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9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50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9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50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9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50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9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50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9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50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9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50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9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50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9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5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9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50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9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50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9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50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9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50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9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50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9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50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9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50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9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50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9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50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9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5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9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50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9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50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9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50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9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50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9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50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9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50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9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50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9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50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9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50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9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5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9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5">
    <mergeCell ref="F6:H6"/>
    <mergeCell ref="F5:H5"/>
    <mergeCell ref="B4:H4"/>
    <mergeCell ref="B2:H2"/>
    <mergeCell ref="B3:H3"/>
  </mergeCells>
  <dataValidations count="1">
    <dataValidation sqref="F1 F7:F143" showDropDown="0" showInputMessage="1" showErrorMessage="1" allowBlank="0" prompt=" - " type="list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Normal="100" workbookViewId="0">
      <pane ySplit="8" topLeftCell="A9" activePane="bottomLeft" state="frozen"/>
      <selection pane="bottomLeft" activeCell="A1" sqref="A1"/>
    </sheetView>
  </sheetViews>
  <sheetFormatPr baseColWidth="8" defaultColWidth="14.453125" defaultRowHeight="14.5"/>
  <cols>
    <col width="13.1796875" customWidth="1" style="150" min="1" max="1"/>
    <col width="21.81640625" customWidth="1" style="150" min="2" max="2"/>
    <col width="29.26953125" customWidth="1" style="150" min="3" max="3"/>
    <col width="34.453125" customWidth="1" style="150" min="4" max="4"/>
    <col width="19.26953125" customWidth="1" style="150" min="5" max="5"/>
    <col width="13.54296875" customWidth="1" style="150" min="6" max="6"/>
    <col width="10.26953125" customWidth="1" style="150" min="7" max="7"/>
    <col width="20.1796875" customWidth="1" style="150" min="8" max="8"/>
    <col width="9.453125" customWidth="1" style="150" min="9" max="9"/>
    <col hidden="1" width="7.54296875" customWidth="1" style="150" min="10" max="10"/>
    <col width="10.26953125" customWidth="1" style="150" min="11" max="11"/>
    <col width="9.1796875" customWidth="1" style="150" min="12" max="26"/>
  </cols>
  <sheetData>
    <row r="1" ht="13.5" customHeight="1" s="150">
      <c r="A1" s="71" t="n"/>
      <c r="B1" s="72" t="n"/>
      <c r="C1" s="72" t="n"/>
      <c r="D1" s="72" t="n"/>
      <c r="E1" s="72" t="n"/>
      <c r="F1" s="73" t="n"/>
      <c r="G1" s="74" t="n"/>
      <c r="H1" s="32" t="n"/>
      <c r="I1" s="75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 ht="15" customHeight="1" s="150">
      <c r="A2" s="77" t="inlineStr">
        <is>
          <t>Module Code</t>
        </is>
      </c>
      <c r="B2" s="147" t="inlineStr">
        <is>
          <t>Forward</t>
        </is>
      </c>
      <c r="C2" s="130" t="n"/>
      <c r="D2" s="130" t="n"/>
      <c r="E2" s="130" t="n"/>
      <c r="F2" s="130" t="n"/>
      <c r="G2" s="130" t="n"/>
      <c r="H2" s="131" t="n"/>
      <c r="I2" s="75" t="n"/>
      <c r="J2" s="76" t="inlineStr">
        <is>
          <t>Passed</t>
        </is>
      </c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25.5" customHeight="1" s="150">
      <c r="A3" s="78" t="inlineStr">
        <is>
          <t>Test requirement</t>
        </is>
      </c>
      <c r="B3" s="147" t="inlineStr">
        <is>
          <t>Chuyển tiếp thư (Forward)</t>
        </is>
      </c>
      <c r="C3" s="130" t="n"/>
      <c r="D3" s="130" t="n"/>
      <c r="E3" s="130" t="n"/>
      <c r="F3" s="130" t="n"/>
      <c r="G3" s="130" t="n"/>
      <c r="H3" s="131" t="n"/>
      <c r="I3" s="75" t="n"/>
      <c r="J3" s="76" t="inlineStr">
        <is>
          <t>Failed</t>
        </is>
      </c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 ht="18" customHeight="1" s="150">
      <c r="A4" s="77" t="inlineStr">
        <is>
          <t>Tester</t>
        </is>
      </c>
      <c r="B4" s="147" t="inlineStr">
        <is>
          <t>Trương Trọng Nhân</t>
        </is>
      </c>
      <c r="C4" s="130" t="n"/>
      <c r="D4" s="130" t="n"/>
      <c r="E4" s="130" t="n"/>
      <c r="F4" s="130" t="n"/>
      <c r="G4" s="130" t="n"/>
      <c r="H4" s="131" t="n"/>
      <c r="I4" s="75" t="n"/>
      <c r="J4" s="76" t="inlineStr">
        <is>
          <t>Blocked</t>
        </is>
      </c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 ht="19.5" customHeight="1" s="150">
      <c r="A5" s="79" t="inlineStr">
        <is>
          <t>Passed</t>
        </is>
      </c>
      <c r="B5" s="146" t="inlineStr">
        <is>
          <t>Failed</t>
        </is>
      </c>
      <c r="C5" s="146" t="inlineStr">
        <is>
          <t>Untested</t>
        </is>
      </c>
      <c r="D5" s="146" t="inlineStr">
        <is>
          <t>Blocked</t>
        </is>
      </c>
      <c r="E5" s="80" t="inlineStr">
        <is>
          <t>Skipped</t>
        </is>
      </c>
      <c r="F5" s="146" t="inlineStr">
        <is>
          <t>Number of Test cases</t>
        </is>
      </c>
      <c r="G5" s="130" t="n"/>
      <c r="H5" s="131" t="n"/>
      <c r="I5" s="81" t="n"/>
      <c r="J5" s="76" t="inlineStr">
        <is>
          <t>Untested</t>
        </is>
      </c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 ht="15" customHeight="1" s="150">
      <c r="A6" s="82">
        <f>COUNTIF(F9:F996,"Passed")</f>
        <v/>
      </c>
      <c r="B6" s="83">
        <f>COUNTIF(F9:F996,"Failed")</f>
        <v/>
      </c>
      <c r="C6" s="83">
        <f>F6-E6-D6-B6-A6</f>
        <v/>
      </c>
      <c r="D6" s="83">
        <f>COUNTIF(F$9:F$996,"Blocked")</f>
        <v/>
      </c>
      <c r="E6" s="84">
        <f>COUNTIF(F$9:F$996,"Skipped")</f>
        <v/>
      </c>
      <c r="F6" s="145">
        <f>COUNTA(A9:A996)</f>
        <v/>
      </c>
      <c r="G6" s="130" t="n"/>
      <c r="H6" s="131" t="n"/>
      <c r="I6" s="81" t="n"/>
      <c r="J6" s="76" t="inlineStr">
        <is>
          <t>Skipped</t>
        </is>
      </c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 ht="15" customHeight="1" s="150">
      <c r="A7" s="76" t="n"/>
      <c r="B7" s="76" t="n"/>
      <c r="C7" s="76" t="n"/>
      <c r="D7" s="85" t="n"/>
      <c r="E7" s="85" t="n"/>
      <c r="F7" s="85" t="n"/>
      <c r="G7" s="85" t="n"/>
      <c r="H7" s="85" t="n"/>
      <c r="I7" s="81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 ht="25.5" customHeight="1" s="150">
      <c r="A8" s="86" t="inlineStr">
        <is>
          <t>ID</t>
        </is>
      </c>
      <c r="B8" s="86" t="inlineStr">
        <is>
          <t>Test Case Description</t>
        </is>
      </c>
      <c r="C8" s="86" t="inlineStr">
        <is>
          <t>Test Case Procedure</t>
        </is>
      </c>
      <c r="D8" s="86" t="inlineStr">
        <is>
          <t>Expected Output</t>
        </is>
      </c>
      <c r="E8" s="87" t="inlineStr">
        <is>
          <t>Inter-test case Dependence</t>
        </is>
      </c>
      <c r="F8" s="87" t="inlineStr">
        <is>
          <t>Result</t>
        </is>
      </c>
      <c r="G8" s="87" t="inlineStr">
        <is>
          <t>Test date</t>
        </is>
      </c>
      <c r="H8" s="86" t="inlineStr">
        <is>
          <t>Note</t>
        </is>
      </c>
      <c r="I8" s="88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 ht="94.5" customHeight="1" s="150">
      <c r="A9" s="89">
        <f>IF(OR(B9&lt;&gt;"",D9&lt;&gt;""),"["&amp;TEXT($B$2,"##")&amp;"-"&amp;TEXT(ROW()-8,"##")&amp;"]","")</f>
        <v/>
      </c>
      <c r="B9" s="90" t="inlineStr">
        <is>
          <t>Kiểm tra hiển thị khung Chuyển tiếp (Forward)</t>
        </is>
      </c>
      <c r="C9" s="90" t="inlineStr">
        <is>
          <t>Điều kiện tiên quyết:
+ Mở một email có sẵn nội dung văn bản và tệp đính kèm
Các bước thực hiện:
1. Nhấp nút [Chuyển tiếp] (Forward)</t>
        </is>
      </c>
      <c r="D9" s="90" t="inlineStr">
        <is>
          <t>1. Khung chuyển tiếp mở ra với ô [Đến] để trống, bên dưới giữ nguyên thông tin "---------- Forwarded message ---------" và các tệp đính kèm gốc.</t>
        </is>
      </c>
      <c r="E9" s="91" t="n"/>
      <c r="F9" s="89" t="inlineStr">
        <is>
          <t>Untested</t>
        </is>
      </c>
      <c r="G9" s="92" t="n"/>
      <c r="H9" s="93" t="n"/>
      <c r="I9" s="94" t="n"/>
      <c r="J9" s="95" t="n"/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  <c r="X9" s="95" t="n"/>
      <c r="Y9" s="95" t="n"/>
      <c r="Z9" s="95" t="n"/>
    </row>
    <row r="10" ht="67.5" customHeight="1" s="150">
      <c r="A10" s="89">
        <f>IF(OR(B10&lt;&gt;"",D10&lt;&gt;""),"["&amp;TEXT($B$2,"##")&amp;"-"&amp;TEXT(ROW()-8,"##")&amp;"]","")</f>
        <v/>
      </c>
      <c r="B10" s="90" t="inlineStr">
        <is>
          <t>Chuyển tiếp thư đến 1 người nhận hợp lệ</t>
        </is>
      </c>
      <c r="C10" s="90" t="inlineStr">
        <is>
          <t>Các bước thực hiện:
1. Nhấp nút [Chuyển tiếp]
2. Nhập ["nahnnhan04@gmail.com"] vào ô [Đến]
3. Nhấp nút [Gửi]</t>
        </is>
      </c>
      <c r="D10" s="90" t="inlineStr">
        <is>
          <t>3. Thư được chuyển tiếp thành công, hiển thị thông báo "Đã gửi thư".</t>
        </is>
      </c>
      <c r="E10" s="91" t="n"/>
      <c r="F10" s="89" t="inlineStr">
        <is>
          <t>Untested</t>
        </is>
      </c>
      <c r="G10" s="92" t="n"/>
      <c r="H10" s="93" t="n"/>
      <c r="I10" s="94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</row>
    <row r="11" ht="67.5" customHeight="1" s="150">
      <c r="A11" s="89">
        <f>IF(OR(B11&lt;&gt;"",D11&lt;&gt;""),"["&amp;TEXT($B$2,"##")&amp;"-"&amp;TEXT(ROW()-8,"##")&amp;"]","")</f>
        <v/>
      </c>
      <c r="B11" s="90" t="inlineStr">
        <is>
          <t>Chuyển tiếp thư đến nhiều người nhận cùng lúc</t>
        </is>
      </c>
      <c r="C11" s="90" t="inlineStr">
        <is>
          <t>Các bước thực hiện:
1. Nhấp nút [Chuyển tiếp]
2. Nhập ["nahnnhan04@gmail.com", "23130217@st.hcmuaf.edu.vn"] vào ô [Đến]
3. Nhấp nút [Gửi]</t>
        </is>
      </c>
      <c r="D11" s="90" t="inlineStr">
        <is>
          <t>3. Thư được chuyển tiếp thành công đến cả 2 địa chỉ người nhận.</t>
        </is>
      </c>
      <c r="E11" s="91" t="n"/>
      <c r="F11" s="89" t="inlineStr">
        <is>
          <t>Untested</t>
        </is>
      </c>
      <c r="G11" s="92" t="n"/>
      <c r="H11" s="93" t="n"/>
      <c r="I11" s="94" t="n"/>
      <c r="J11" s="95" t="n"/>
      <c r="K11" s="95" t="n"/>
      <c r="L11" s="95" t="n"/>
      <c r="M11" s="95" t="n"/>
      <c r="N11" s="95" t="n"/>
      <c r="O11" s="95" t="n"/>
      <c r="P11" s="95" t="n"/>
      <c r="Q11" s="95" t="n"/>
      <c r="R11" s="95" t="n"/>
      <c r="S11" s="95" t="n"/>
      <c r="T11" s="95" t="n"/>
      <c r="U11" s="95" t="n"/>
      <c r="V11" s="95" t="n"/>
      <c r="W11" s="95" t="n"/>
      <c r="X11" s="95" t="n"/>
      <c r="Y11" s="95" t="n"/>
      <c r="Z11" s="95" t="n"/>
    </row>
    <row r="12" ht="67.5" customHeight="1" s="150">
      <c r="A12" s="89">
        <f>IF(OR(B12&lt;&gt;"",D12&lt;&gt;""),"["&amp;TEXT($B$2,"##")&amp;"-"&amp;TEXT(ROW()-8,"##")&amp;"]","")</f>
        <v/>
      </c>
      <c r="B12" s="90" t="inlineStr">
        <is>
          <t>Chuyển tiếp thư với địa chỉ email sai định dạng</t>
        </is>
      </c>
      <c r="C12" s="90" t="inlineStr">
        <is>
          <t>Các bước thực hiện:
1. Nhấp nút [Chuyển tiếp]
2. Nhập ["email_sai@@com"] vào ô [Đến]
3. Nhấp nút [Gửi]</t>
        </is>
      </c>
      <c r="D12" s="90" t="inlineStr">
        <is>
          <t>3. Hiển thị hộp thoại báo lỗi địa chỉ trong trường "Đến" không được nhận dạng.</t>
        </is>
      </c>
      <c r="E12" s="91" t="n"/>
      <c r="F12" s="89" t="inlineStr">
        <is>
          <t>Untested</t>
        </is>
      </c>
      <c r="G12" s="92" t="n"/>
      <c r="H12" s="93" t="n"/>
      <c r="I12" s="94" t="n"/>
      <c r="J12" s="95" t="n"/>
      <c r="K12" s="95" t="n"/>
      <c r="L12" s="95" t="n"/>
      <c r="M12" s="95" t="n"/>
      <c r="N12" s="95" t="n"/>
      <c r="O12" s="95" t="n"/>
      <c r="P12" s="95" t="n"/>
      <c r="Q12" s="95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</row>
    <row r="13" ht="54" customHeight="1" s="150">
      <c r="A13" s="89">
        <f>IF(OR(B13&lt;&gt;"",D13&lt;&gt;""),"["&amp;TEXT($B$2,"##")&amp;"-"&amp;TEXT(ROW()-8,"##")&amp;"]","")</f>
        <v/>
      </c>
      <c r="B13" s="90" t="inlineStr">
        <is>
          <t>Nhấn [Gửi] chuyển tiếp khi bỏ trống ô [Đến]</t>
        </is>
      </c>
      <c r="C13" s="90" t="inlineStr">
        <is>
          <t>Các bước thực hiện:
1. Nhấp nút [Chuyển tiếp]
2. Để trống ô [Đến] và nhấp nút [Gửi]</t>
        </is>
      </c>
      <c r="D13" s="90" t="inlineStr">
        <is>
          <t>2. Hiển thị hộp thoại báo lỗi "Vui lòng chỉ định ít nhất một người nhận."</t>
        </is>
      </c>
      <c r="E13" s="91" t="n"/>
      <c r="F13" s="89" t="inlineStr">
        <is>
          <t>Untested</t>
        </is>
      </c>
      <c r="G13" s="92" t="n"/>
      <c r="H13" s="93" t="n"/>
      <c r="I13" s="94" t="n"/>
      <c r="J13" s="95" t="n"/>
      <c r="K13" s="95" t="n"/>
      <c r="L13" s="95" t="n"/>
      <c r="M13" s="95" t="n"/>
      <c r="N13" s="95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  <c r="Y13" s="95" t="n"/>
      <c r="Z13" s="95" t="n"/>
    </row>
    <row r="14" ht="135" customHeight="1" s="150">
      <c r="A14" s="89">
        <f>IF(OR(B14&lt;&gt;"",D14&lt;&gt;""),"["&amp;TEXT($B$2,"##")&amp;"-"&amp;TEXT(ROW()-8,"##")&amp;"]","")</f>
        <v/>
      </c>
      <c r="B14" s="90" t="inlineStr">
        <is>
          <t>Xóa tệp đính kèm gốc trước khi Chuyển tiếp</t>
        </is>
      </c>
      <c r="C14" s="90" t="inlineStr">
        <is>
          <t>Điều kiện tiên quyết:
+ Mở một email có sẵn tệp đính kèm
Các bước thực hiện:
1. Nhấp nút [Chuyển tiếp]
2. Nhấp dấu [x] để gỡ bỏ tệp đính kèm trong khung chuyển tiếp
3. Nhập người nhận vào ô [Đến] và nhấp [Gửi]</t>
        </is>
      </c>
      <c r="D14" s="90" t="inlineStr">
        <is>
          <t>2. Tệp đính kèm bị xóa khỏi bản nháp chuyển tiếp.
3. Thư chuyển tiếp được gửi đi chỉ gồm văn bản, không còn tệp đính kèm gốc.</t>
        </is>
      </c>
      <c r="E14" s="91" t="n"/>
      <c r="F14" s="89" t="inlineStr">
        <is>
          <t>Untested</t>
        </is>
      </c>
      <c r="G14" s="92" t="n"/>
      <c r="H14" s="93" t="n"/>
      <c r="I14" s="94" t="n"/>
      <c r="J14" s="95" t="n"/>
      <c r="K14" s="95" t="n"/>
      <c r="L14" s="95" t="n"/>
      <c r="M14" s="95" t="n"/>
      <c r="N14" s="95" t="n"/>
      <c r="O14" s="95" t="n"/>
      <c r="P14" s="95" t="n"/>
      <c r="Q14" s="95" t="n"/>
      <c r="R14" s="95" t="n"/>
      <c r="S14" s="95" t="n"/>
      <c r="T14" s="95" t="n"/>
      <c r="U14" s="95" t="n"/>
      <c r="V14" s="95" t="n"/>
      <c r="W14" s="95" t="n"/>
      <c r="X14" s="95" t="n"/>
      <c r="Y14" s="95" t="n"/>
      <c r="Z14" s="95" t="n"/>
    </row>
    <row r="15" ht="94.5" customHeight="1" s="150">
      <c r="A15" s="89">
        <f>IF(OR(B15&lt;&gt;"",D15&lt;&gt;""),"["&amp;TEXT($B$2,"##")&amp;"-"&amp;TEXT(ROW()-8,"##")&amp;"]","")</f>
        <v/>
      </c>
      <c r="B15" s="90" t="inlineStr">
        <is>
          <t>Chuyển tiếp thư có thêm người nhận CC/BCC</t>
        </is>
      </c>
      <c r="C15" s="90" t="inlineStr">
        <is>
          <t>Các bước thực hiện:
1. Nhấp nút [Chuyển tiếp]
2. Nhập ["nahnnhan04@gmail.com"] vào ô [Đến]
3. Nhấp mở [Cc] và [Bcc], nhập địa chỉ email hợp lệ
4. Nhấp nút [Gửi]</t>
        </is>
      </c>
      <c r="D15" s="90" t="inlineStr">
        <is>
          <t>4. Thư được chuyển tiếp thành công đến người nhận chính cùng các địa chỉ trong CC và BCC.</t>
        </is>
      </c>
      <c r="E15" s="91" t="n"/>
      <c r="F15" s="89" t="inlineStr">
        <is>
          <t>Untested</t>
        </is>
      </c>
      <c r="G15" s="92" t="n"/>
      <c r="H15" s="93" t="n"/>
      <c r="I15" s="96" t="n"/>
      <c r="J15" s="76" t="n"/>
      <c r="K15" s="76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08" customHeight="1" s="150">
      <c r="A16" s="89">
        <f>IF(OR(B16&lt;&gt;"",D16&lt;&gt;""),"["&amp;TEXT($B$2,"##")&amp;"-"&amp;TEXT(ROW()-8,"##")&amp;"]","")</f>
        <v/>
      </c>
      <c r="B16" s="90" t="inlineStr">
        <is>
          <t>Chỉnh sửa nội dung trước khi chuyển tiếp thư</t>
        </is>
      </c>
      <c r="C16" s="90" t="inlineStr">
        <is>
          <t>Các bước thực hiện:
1. Nhấp nút [Chuyển tiếp]
2. Nhập ["nahnnhan04@gmail.com"] vào ô [Đến]
3. Nhập thêm lời nhắn ["Nhờ bạn xem giúp"] phía trên phần nội dung gốc
4. Nhấp nút [Gửi]</t>
        </is>
      </c>
      <c r="D16" s="90" t="inlineStr">
        <is>
          <t>4. Thư được chuyển tiếp thành công, gồm lời nhắn mới và nội dung gốc được giữ nguyên bên dưới.</t>
        </is>
      </c>
      <c r="E16" s="91" t="n"/>
      <c r="F16" s="89" t="inlineStr">
        <is>
          <t>Untested</t>
        </is>
      </c>
      <c r="G16" s="92" t="n"/>
      <c r="H16" s="93" t="n"/>
      <c r="I16" s="94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 s="150">
      <c r="A17" s="7" t="n"/>
      <c r="B17" s="7" t="n"/>
      <c r="C17" s="7" t="n"/>
      <c r="D17" s="7" t="n"/>
      <c r="E17" s="7" t="n"/>
      <c r="F17" s="7" t="n"/>
      <c r="G17" s="7" t="n"/>
      <c r="H17" s="7" t="n"/>
      <c r="I17" s="9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50">
      <c r="A18" s="7" t="n"/>
      <c r="B18" s="7" t="n"/>
      <c r="C18" s="7" t="n"/>
      <c r="D18" s="7" t="n"/>
      <c r="E18" s="7" t="n"/>
      <c r="F18" s="7" t="n"/>
      <c r="G18" s="7" t="n"/>
      <c r="H18" s="7" t="n"/>
      <c r="I18" s="9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50">
      <c r="A19" s="7" t="n"/>
      <c r="B19" s="7" t="n"/>
      <c r="C19" s="7" t="n"/>
      <c r="D19" s="7" t="n"/>
      <c r="E19" s="7" t="n"/>
      <c r="F19" s="7" t="n"/>
      <c r="G19" s="7" t="n"/>
      <c r="H19" s="7" t="n"/>
      <c r="I19" s="9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50">
      <c r="A20" s="7" t="n"/>
      <c r="B20" s="7" t="n"/>
      <c r="C20" s="7" t="n"/>
      <c r="D20" s="7" t="n"/>
      <c r="E20" s="7" t="n"/>
      <c r="F20" s="7" t="n"/>
      <c r="G20" s="7" t="n"/>
      <c r="H20" s="7" t="n"/>
      <c r="I20" s="9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50">
      <c r="A21" s="7" t="n"/>
      <c r="B21" s="7" t="n"/>
      <c r="C21" s="7" t="n"/>
      <c r="D21" s="7" t="n"/>
      <c r="E21" s="7" t="n"/>
      <c r="F21" s="7" t="n"/>
      <c r="G21" s="7" t="n"/>
      <c r="H21" s="7" t="n"/>
      <c r="I21" s="9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50">
      <c r="A22" s="7" t="n"/>
      <c r="B22" s="7" t="n"/>
      <c r="C22" s="7" t="n"/>
      <c r="D22" s="7" t="n"/>
      <c r="E22" s="7" t="n"/>
      <c r="F22" s="7" t="n"/>
      <c r="G22" s="7" t="n"/>
      <c r="H22" s="7" t="n"/>
      <c r="I22" s="9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50">
      <c r="A23" s="7" t="n"/>
      <c r="B23" s="7" t="n"/>
      <c r="C23" s="7" t="n"/>
      <c r="D23" s="7" t="n"/>
      <c r="E23" s="7" t="n"/>
      <c r="F23" s="7" t="n"/>
      <c r="G23" s="7" t="n"/>
      <c r="H23" s="7" t="n"/>
      <c r="I23" s="9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50">
      <c r="A24" s="7" t="n"/>
      <c r="B24" s="7" t="n"/>
      <c r="C24" s="7" t="n"/>
      <c r="D24" s="7" t="n"/>
      <c r="E24" s="7" t="n"/>
      <c r="F24" s="7" t="n"/>
      <c r="G24" s="7" t="n"/>
      <c r="H24" s="7" t="n"/>
      <c r="I24" s="9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50">
      <c r="A25" s="7" t="n"/>
      <c r="B25" s="7" t="n"/>
      <c r="C25" s="7" t="n"/>
      <c r="D25" s="7" t="n"/>
      <c r="E25" s="7" t="n"/>
      <c r="F25" s="7" t="n"/>
      <c r="G25" s="7" t="n"/>
      <c r="H25" s="7" t="n"/>
      <c r="I25" s="9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50">
      <c r="A26" s="7" t="n"/>
      <c r="B26" s="7" t="n"/>
      <c r="C26" s="7" t="n"/>
      <c r="D26" s="7" t="n"/>
      <c r="E26" s="7" t="n"/>
      <c r="F26" s="7" t="n"/>
      <c r="G26" s="7" t="n"/>
      <c r="H26" s="7" t="n"/>
      <c r="I26" s="9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50">
      <c r="A27" s="7" t="n"/>
      <c r="B27" s="7" t="n"/>
      <c r="C27" s="7" t="n"/>
      <c r="D27" s="7" t="n"/>
      <c r="E27" s="7" t="n"/>
      <c r="F27" s="7" t="n"/>
      <c r="G27" s="7" t="n"/>
      <c r="H27" s="7" t="n"/>
      <c r="I27" s="9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50">
      <c r="A28" s="7" t="n"/>
      <c r="B28" s="7" t="n"/>
      <c r="C28" s="7" t="n"/>
      <c r="D28" s="7" t="n"/>
      <c r="E28" s="7" t="n"/>
      <c r="F28" s="7" t="n"/>
      <c r="G28" s="7" t="n"/>
      <c r="H28" s="7" t="n"/>
      <c r="I28" s="9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50">
      <c r="A29" s="7" t="n"/>
      <c r="B29" s="7" t="n"/>
      <c r="C29" s="7" t="n"/>
      <c r="D29" s="7" t="n"/>
      <c r="E29" s="7" t="n"/>
      <c r="F29" s="7" t="n"/>
      <c r="G29" s="7" t="n"/>
      <c r="H29" s="7" t="n"/>
      <c r="I29" s="9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50">
      <c r="A30" s="7" t="n"/>
      <c r="B30" s="7" t="n"/>
      <c r="C30" s="7" t="n"/>
      <c r="D30" s="7" t="n"/>
      <c r="E30" s="7" t="n"/>
      <c r="F30" s="7" t="n"/>
      <c r="G30" s="7" t="n"/>
      <c r="H30" s="7" t="n"/>
      <c r="I30" s="9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50">
      <c r="A31" s="7" t="n"/>
      <c r="B31" s="7" t="n"/>
      <c r="C31" s="7" t="n"/>
      <c r="D31" s="7" t="n"/>
      <c r="E31" s="7" t="n"/>
      <c r="F31" s="7" t="n"/>
      <c r="G31" s="7" t="n"/>
      <c r="H31" s="7" t="n"/>
      <c r="I31" s="9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50">
      <c r="A32" s="7" t="n"/>
      <c r="B32" s="7" t="n"/>
      <c r="C32" s="7" t="n"/>
      <c r="D32" s="7" t="n"/>
      <c r="E32" s="7" t="n"/>
      <c r="F32" s="7" t="n"/>
      <c r="G32" s="7" t="n"/>
      <c r="H32" s="7" t="n"/>
      <c r="I32" s="9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50">
      <c r="A33" s="7" t="n"/>
      <c r="B33" s="7" t="n"/>
      <c r="C33" s="7" t="n"/>
      <c r="D33" s="7" t="n"/>
      <c r="E33" s="7" t="n"/>
      <c r="F33" s="7" t="n"/>
      <c r="G33" s="7" t="n"/>
      <c r="H33" s="7" t="n"/>
      <c r="I33" s="9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50">
      <c r="A34" s="7" t="n"/>
      <c r="B34" s="7" t="n"/>
      <c r="C34" s="7" t="n"/>
      <c r="D34" s="7" t="n"/>
      <c r="E34" s="7" t="n"/>
      <c r="F34" s="7" t="n"/>
      <c r="G34" s="7" t="n"/>
      <c r="H34" s="7" t="n"/>
      <c r="I34" s="9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50">
      <c r="A35" s="7" t="n"/>
      <c r="B35" s="7" t="n"/>
      <c r="C35" s="7" t="n"/>
      <c r="D35" s="7" t="n"/>
      <c r="E35" s="7" t="n"/>
      <c r="F35" s="7" t="n"/>
      <c r="G35" s="7" t="n"/>
      <c r="H35" s="7" t="n"/>
      <c r="I35" s="9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50">
      <c r="A36" s="7" t="n"/>
      <c r="B36" s="7" t="n"/>
      <c r="C36" s="7" t="n"/>
      <c r="D36" s="7" t="n"/>
      <c r="E36" s="7" t="n"/>
      <c r="F36" s="7" t="n"/>
      <c r="G36" s="7" t="n"/>
      <c r="H36" s="7" t="n"/>
      <c r="I36" s="9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50">
      <c r="A37" s="7" t="n"/>
      <c r="B37" s="7" t="n"/>
      <c r="C37" s="7" t="n"/>
      <c r="D37" s="7" t="n"/>
      <c r="E37" s="7" t="n"/>
      <c r="F37" s="7" t="n"/>
      <c r="G37" s="7" t="n"/>
      <c r="H37" s="7" t="n"/>
      <c r="I37" s="9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50">
      <c r="A38" s="7" t="n"/>
      <c r="B38" s="7" t="n"/>
      <c r="C38" s="7" t="n"/>
      <c r="D38" s="7" t="n"/>
      <c r="E38" s="7" t="n"/>
      <c r="F38" s="7" t="n"/>
      <c r="G38" s="7" t="n"/>
      <c r="H38" s="7" t="n"/>
      <c r="I38" s="9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50">
      <c r="A39" s="7" t="n"/>
      <c r="B39" s="7" t="n"/>
      <c r="C39" s="7" t="n"/>
      <c r="D39" s="7" t="n"/>
      <c r="E39" s="7" t="n"/>
      <c r="F39" s="7" t="n"/>
      <c r="G39" s="7" t="n"/>
      <c r="H39" s="7" t="n"/>
      <c r="I39" s="9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50">
      <c r="A40" s="7" t="n"/>
      <c r="B40" s="7" t="n"/>
      <c r="C40" s="7" t="n"/>
      <c r="D40" s="7" t="n"/>
      <c r="E40" s="7" t="n"/>
      <c r="F40" s="7" t="n"/>
      <c r="G40" s="7" t="n"/>
      <c r="H40" s="7" t="n"/>
      <c r="I40" s="9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50">
      <c r="A41" s="7" t="n"/>
      <c r="B41" s="7" t="n"/>
      <c r="C41" s="7" t="n"/>
      <c r="D41" s="7" t="n"/>
      <c r="E41" s="7" t="n"/>
      <c r="F41" s="7" t="n"/>
      <c r="G41" s="7" t="n"/>
      <c r="H41" s="7" t="n"/>
      <c r="I41" s="9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50">
      <c r="A42" s="7" t="n"/>
      <c r="B42" s="7" t="n"/>
      <c r="C42" s="7" t="n"/>
      <c r="D42" s="7" t="n"/>
      <c r="E42" s="7" t="n"/>
      <c r="F42" s="7" t="n"/>
      <c r="G42" s="7" t="n"/>
      <c r="H42" s="7" t="n"/>
      <c r="I42" s="9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50">
      <c r="A43" s="7" t="n"/>
      <c r="B43" s="7" t="n"/>
      <c r="C43" s="7" t="n"/>
      <c r="D43" s="7" t="n"/>
      <c r="E43" s="7" t="n"/>
      <c r="F43" s="7" t="n"/>
      <c r="G43" s="7" t="n"/>
      <c r="H43" s="7" t="n"/>
      <c r="I43" s="9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50">
      <c r="A44" s="7" t="n"/>
      <c r="B44" s="7" t="n"/>
      <c r="C44" s="7" t="n"/>
      <c r="D44" s="7" t="n"/>
      <c r="E44" s="7" t="n"/>
      <c r="F44" s="7" t="n"/>
      <c r="G44" s="7" t="n"/>
      <c r="H44" s="7" t="n"/>
      <c r="I44" s="9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50">
      <c r="A45" s="7" t="n"/>
      <c r="B45" s="7" t="n"/>
      <c r="C45" s="7" t="n"/>
      <c r="D45" s="7" t="n"/>
      <c r="E45" s="7" t="n"/>
      <c r="F45" s="7" t="n"/>
      <c r="G45" s="7" t="n"/>
      <c r="H45" s="7" t="n"/>
      <c r="I45" s="9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50">
      <c r="A46" s="7" t="n"/>
      <c r="B46" s="7" t="n"/>
      <c r="C46" s="7" t="n"/>
      <c r="D46" s="7" t="n"/>
      <c r="E46" s="7" t="n"/>
      <c r="F46" s="7" t="n"/>
      <c r="G46" s="7" t="n"/>
      <c r="H46" s="7" t="n"/>
      <c r="I46" s="9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50">
      <c r="A47" s="7" t="n"/>
      <c r="B47" s="7" t="n"/>
      <c r="C47" s="7" t="n"/>
      <c r="D47" s="7" t="n"/>
      <c r="E47" s="7" t="n"/>
      <c r="F47" s="7" t="n"/>
      <c r="G47" s="7" t="n"/>
      <c r="H47" s="7" t="n"/>
      <c r="I47" s="9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50">
      <c r="A48" s="7" t="n"/>
      <c r="B48" s="7" t="n"/>
      <c r="C48" s="7" t="n"/>
      <c r="D48" s="7" t="n"/>
      <c r="E48" s="7" t="n"/>
      <c r="F48" s="7" t="n"/>
      <c r="G48" s="7" t="n"/>
      <c r="H48" s="7" t="n"/>
      <c r="I48" s="9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50">
      <c r="A49" s="7" t="n"/>
      <c r="B49" s="7" t="n"/>
      <c r="C49" s="7" t="n"/>
      <c r="D49" s="7" t="n"/>
      <c r="E49" s="7" t="n"/>
      <c r="F49" s="7" t="n"/>
      <c r="G49" s="7" t="n"/>
      <c r="H49" s="7" t="n"/>
      <c r="I49" s="9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50">
      <c r="A50" s="7" t="n"/>
      <c r="B50" s="7" t="n"/>
      <c r="C50" s="7" t="n"/>
      <c r="D50" s="7" t="n"/>
      <c r="E50" s="7" t="n"/>
      <c r="F50" s="7" t="n"/>
      <c r="G50" s="7" t="n"/>
      <c r="H50" s="7" t="n"/>
      <c r="I50" s="9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50">
      <c r="A51" s="7" t="n"/>
      <c r="B51" s="7" t="n"/>
      <c r="C51" s="7" t="n"/>
      <c r="D51" s="7" t="n"/>
      <c r="E51" s="7" t="n"/>
      <c r="F51" s="7" t="n"/>
      <c r="G51" s="7" t="n"/>
      <c r="H51" s="7" t="n"/>
      <c r="I51" s="9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50">
      <c r="A52" s="7" t="n"/>
      <c r="B52" s="7" t="n"/>
      <c r="C52" s="7" t="n"/>
      <c r="D52" s="7" t="n"/>
      <c r="E52" s="7" t="n"/>
      <c r="F52" s="7" t="n"/>
      <c r="G52" s="7" t="n"/>
      <c r="H52" s="7" t="n"/>
      <c r="I52" s="9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50">
      <c r="A53" s="7" t="n"/>
      <c r="B53" s="7" t="n"/>
      <c r="C53" s="7" t="n"/>
      <c r="D53" s="7" t="n"/>
      <c r="E53" s="7" t="n"/>
      <c r="F53" s="7" t="n"/>
      <c r="G53" s="7" t="n"/>
      <c r="H53" s="7" t="n"/>
      <c r="I53" s="9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50">
      <c r="A54" s="7" t="n"/>
      <c r="B54" s="7" t="n"/>
      <c r="C54" s="7" t="n"/>
      <c r="D54" s="7" t="n"/>
      <c r="E54" s="7" t="n"/>
      <c r="F54" s="7" t="n"/>
      <c r="G54" s="7" t="n"/>
      <c r="H54" s="7" t="n"/>
      <c r="I54" s="9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50">
      <c r="A55" s="7" t="n"/>
      <c r="B55" s="7" t="n"/>
      <c r="C55" s="7" t="n"/>
      <c r="D55" s="7" t="n"/>
      <c r="E55" s="7" t="n"/>
      <c r="F55" s="7" t="n"/>
      <c r="G55" s="7" t="n"/>
      <c r="H55" s="7" t="n"/>
      <c r="I55" s="9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50">
      <c r="A56" s="7" t="n"/>
      <c r="B56" s="7" t="n"/>
      <c r="C56" s="7" t="n"/>
      <c r="D56" s="7" t="n"/>
      <c r="E56" s="7" t="n"/>
      <c r="F56" s="7" t="n"/>
      <c r="G56" s="7" t="n"/>
      <c r="H56" s="7" t="n"/>
      <c r="I56" s="9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50">
      <c r="A57" s="7" t="n"/>
      <c r="B57" s="7" t="n"/>
      <c r="C57" s="7" t="n"/>
      <c r="D57" s="7" t="n"/>
      <c r="E57" s="7" t="n"/>
      <c r="F57" s="7" t="n"/>
      <c r="G57" s="7" t="n"/>
      <c r="H57" s="7" t="n"/>
      <c r="I57" s="9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50">
      <c r="A58" s="7" t="n"/>
      <c r="B58" s="7" t="n"/>
      <c r="C58" s="7" t="n"/>
      <c r="D58" s="7" t="n"/>
      <c r="E58" s="7" t="n"/>
      <c r="F58" s="7" t="n"/>
      <c r="G58" s="7" t="n"/>
      <c r="H58" s="7" t="n"/>
      <c r="I58" s="9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50">
      <c r="A59" s="7" t="n"/>
      <c r="B59" s="7" t="n"/>
      <c r="C59" s="7" t="n"/>
      <c r="D59" s="7" t="n"/>
      <c r="E59" s="7" t="n"/>
      <c r="F59" s="7" t="n"/>
      <c r="G59" s="7" t="n"/>
      <c r="H59" s="7" t="n"/>
      <c r="I59" s="9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50">
      <c r="A60" s="7" t="n"/>
      <c r="B60" s="7" t="n"/>
      <c r="C60" s="7" t="n"/>
      <c r="D60" s="7" t="n"/>
      <c r="E60" s="7" t="n"/>
      <c r="F60" s="7" t="n"/>
      <c r="G60" s="7" t="n"/>
      <c r="H60" s="7" t="n"/>
      <c r="I60" s="9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50">
      <c r="A61" s="7" t="n"/>
      <c r="B61" s="7" t="n"/>
      <c r="C61" s="7" t="n"/>
      <c r="D61" s="7" t="n"/>
      <c r="E61" s="7" t="n"/>
      <c r="F61" s="7" t="n"/>
      <c r="G61" s="7" t="n"/>
      <c r="H61" s="7" t="n"/>
      <c r="I61" s="9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50">
      <c r="A62" s="7" t="n"/>
      <c r="B62" s="7" t="n"/>
      <c r="C62" s="7" t="n"/>
      <c r="D62" s="7" t="n"/>
      <c r="E62" s="7" t="n"/>
      <c r="F62" s="7" t="n"/>
      <c r="G62" s="7" t="n"/>
      <c r="H62" s="7" t="n"/>
      <c r="I62" s="9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50">
      <c r="A63" s="7" t="n"/>
      <c r="B63" s="7" t="n"/>
      <c r="C63" s="7" t="n"/>
      <c r="D63" s="7" t="n"/>
      <c r="E63" s="7" t="n"/>
      <c r="F63" s="7" t="n"/>
      <c r="G63" s="7" t="n"/>
      <c r="H63" s="7" t="n"/>
      <c r="I63" s="9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50">
      <c r="A64" s="7" t="n"/>
      <c r="B64" s="7" t="n"/>
      <c r="C64" s="7" t="n"/>
      <c r="D64" s="7" t="n"/>
      <c r="E64" s="7" t="n"/>
      <c r="F64" s="7" t="n"/>
      <c r="G64" s="7" t="n"/>
      <c r="H64" s="7" t="n"/>
      <c r="I64" s="9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50">
      <c r="A65" s="7" t="n"/>
      <c r="B65" s="7" t="n"/>
      <c r="C65" s="7" t="n"/>
      <c r="D65" s="7" t="n"/>
      <c r="E65" s="7" t="n"/>
      <c r="F65" s="7" t="n"/>
      <c r="G65" s="7" t="n"/>
      <c r="H65" s="7" t="n"/>
      <c r="I65" s="9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50">
      <c r="A66" s="7" t="n"/>
      <c r="B66" s="7" t="n"/>
      <c r="C66" s="7" t="n"/>
      <c r="D66" s="7" t="n"/>
      <c r="E66" s="7" t="n"/>
      <c r="F66" s="7" t="n"/>
      <c r="G66" s="7" t="n"/>
      <c r="H66" s="7" t="n"/>
      <c r="I66" s="9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50">
      <c r="A67" s="7" t="n"/>
      <c r="B67" s="7" t="n"/>
      <c r="C67" s="7" t="n"/>
      <c r="D67" s="7" t="n"/>
      <c r="E67" s="7" t="n"/>
      <c r="F67" s="7" t="n"/>
      <c r="G67" s="7" t="n"/>
      <c r="H67" s="7" t="n"/>
      <c r="I67" s="9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50">
      <c r="A68" s="7" t="n"/>
      <c r="B68" s="7" t="n"/>
      <c r="C68" s="7" t="n"/>
      <c r="D68" s="7" t="n"/>
      <c r="E68" s="7" t="n"/>
      <c r="F68" s="7" t="n"/>
      <c r="G68" s="7" t="n"/>
      <c r="H68" s="7" t="n"/>
      <c r="I68" s="9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50">
      <c r="A69" s="7" t="n"/>
      <c r="B69" s="7" t="n"/>
      <c r="C69" s="7" t="n"/>
      <c r="D69" s="7" t="n"/>
      <c r="E69" s="7" t="n"/>
      <c r="F69" s="7" t="n"/>
      <c r="G69" s="7" t="n"/>
      <c r="H69" s="7" t="n"/>
      <c r="I69" s="9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50">
      <c r="A70" s="7" t="n"/>
      <c r="B70" s="7" t="n"/>
      <c r="C70" s="7" t="n"/>
      <c r="D70" s="7" t="n"/>
      <c r="E70" s="7" t="n"/>
      <c r="F70" s="7" t="n"/>
      <c r="G70" s="7" t="n"/>
      <c r="H70" s="7" t="n"/>
      <c r="I70" s="9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50">
      <c r="A71" s="7" t="n"/>
      <c r="B71" s="7" t="n"/>
      <c r="C71" s="7" t="n"/>
      <c r="D71" s="7" t="n"/>
      <c r="E71" s="7" t="n"/>
      <c r="F71" s="7" t="n"/>
      <c r="G71" s="7" t="n"/>
      <c r="H71" s="7" t="n"/>
      <c r="I71" s="9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50">
      <c r="A72" s="7" t="n"/>
      <c r="B72" s="7" t="n"/>
      <c r="C72" s="7" t="n"/>
      <c r="D72" s="7" t="n"/>
      <c r="E72" s="7" t="n"/>
      <c r="F72" s="7" t="n"/>
      <c r="G72" s="7" t="n"/>
      <c r="H72" s="7" t="n"/>
      <c r="I72" s="9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50">
      <c r="A73" s="7" t="n"/>
      <c r="B73" s="7" t="n"/>
      <c r="C73" s="7" t="n"/>
      <c r="D73" s="7" t="n"/>
      <c r="E73" s="7" t="n"/>
      <c r="F73" s="7" t="n"/>
      <c r="G73" s="7" t="n"/>
      <c r="H73" s="7" t="n"/>
      <c r="I73" s="9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50">
      <c r="A74" s="7" t="n"/>
      <c r="B74" s="7" t="n"/>
      <c r="C74" s="7" t="n"/>
      <c r="D74" s="7" t="n"/>
      <c r="E74" s="7" t="n"/>
      <c r="F74" s="7" t="n"/>
      <c r="G74" s="7" t="n"/>
      <c r="H74" s="7" t="n"/>
      <c r="I74" s="9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50">
      <c r="A75" s="7" t="n"/>
      <c r="B75" s="7" t="n"/>
      <c r="C75" s="7" t="n"/>
      <c r="D75" s="7" t="n"/>
      <c r="E75" s="7" t="n"/>
      <c r="F75" s="7" t="n"/>
      <c r="G75" s="7" t="n"/>
      <c r="H75" s="7" t="n"/>
      <c r="I75" s="9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50">
      <c r="A76" s="7" t="n"/>
      <c r="B76" s="7" t="n"/>
      <c r="C76" s="7" t="n"/>
      <c r="D76" s="7" t="n"/>
      <c r="E76" s="7" t="n"/>
      <c r="F76" s="7" t="n"/>
      <c r="G76" s="7" t="n"/>
      <c r="H76" s="7" t="n"/>
      <c r="I76" s="9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50">
      <c r="A77" s="7" t="n"/>
      <c r="B77" s="7" t="n"/>
      <c r="C77" s="7" t="n"/>
      <c r="D77" s="7" t="n"/>
      <c r="E77" s="7" t="n"/>
      <c r="F77" s="7" t="n"/>
      <c r="G77" s="7" t="n"/>
      <c r="H77" s="7" t="n"/>
      <c r="I77" s="9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50">
      <c r="A78" s="7" t="n"/>
      <c r="B78" s="7" t="n"/>
      <c r="C78" s="7" t="n"/>
      <c r="D78" s="7" t="n"/>
      <c r="E78" s="7" t="n"/>
      <c r="F78" s="7" t="n"/>
      <c r="G78" s="7" t="n"/>
      <c r="H78" s="7" t="n"/>
      <c r="I78" s="9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50">
      <c r="A79" s="7" t="n"/>
      <c r="B79" s="7" t="n"/>
      <c r="C79" s="7" t="n"/>
      <c r="D79" s="7" t="n"/>
      <c r="E79" s="7" t="n"/>
      <c r="F79" s="7" t="n"/>
      <c r="G79" s="7" t="n"/>
      <c r="H79" s="7" t="n"/>
      <c r="I79" s="9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50">
      <c r="A80" s="7" t="n"/>
      <c r="B80" s="7" t="n"/>
      <c r="C80" s="7" t="n"/>
      <c r="D80" s="7" t="n"/>
      <c r="E80" s="7" t="n"/>
      <c r="F80" s="7" t="n"/>
      <c r="G80" s="7" t="n"/>
      <c r="H80" s="7" t="n"/>
      <c r="I80" s="9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50">
      <c r="A81" s="7" t="n"/>
      <c r="B81" s="7" t="n"/>
      <c r="C81" s="7" t="n"/>
      <c r="D81" s="7" t="n"/>
      <c r="E81" s="7" t="n"/>
      <c r="F81" s="7" t="n"/>
      <c r="G81" s="7" t="n"/>
      <c r="H81" s="7" t="n"/>
      <c r="I81" s="9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50">
      <c r="A82" s="7" t="n"/>
      <c r="B82" s="7" t="n"/>
      <c r="C82" s="7" t="n"/>
      <c r="D82" s="7" t="n"/>
      <c r="E82" s="7" t="n"/>
      <c r="F82" s="7" t="n"/>
      <c r="G82" s="7" t="n"/>
      <c r="H82" s="7" t="n"/>
      <c r="I82" s="9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50">
      <c r="A83" s="7" t="n"/>
      <c r="B83" s="7" t="n"/>
      <c r="C83" s="7" t="n"/>
      <c r="D83" s="7" t="n"/>
      <c r="E83" s="7" t="n"/>
      <c r="F83" s="7" t="n"/>
      <c r="G83" s="7" t="n"/>
      <c r="H83" s="7" t="n"/>
      <c r="I83" s="9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50">
      <c r="A84" s="7" t="n"/>
      <c r="B84" s="7" t="n"/>
      <c r="C84" s="7" t="n"/>
      <c r="D84" s="7" t="n"/>
      <c r="E84" s="7" t="n"/>
      <c r="F84" s="7" t="n"/>
      <c r="G84" s="7" t="n"/>
      <c r="H84" s="7" t="n"/>
      <c r="I84" s="9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50">
      <c r="A85" s="7" t="n"/>
      <c r="B85" s="7" t="n"/>
      <c r="C85" s="7" t="n"/>
      <c r="D85" s="7" t="n"/>
      <c r="E85" s="7" t="n"/>
      <c r="F85" s="7" t="n"/>
      <c r="G85" s="7" t="n"/>
      <c r="H85" s="7" t="n"/>
      <c r="I85" s="9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50">
      <c r="A86" s="7" t="n"/>
      <c r="B86" s="7" t="n"/>
      <c r="C86" s="7" t="n"/>
      <c r="D86" s="7" t="n"/>
      <c r="E86" s="7" t="n"/>
      <c r="F86" s="7" t="n"/>
      <c r="G86" s="7" t="n"/>
      <c r="H86" s="7" t="n"/>
      <c r="I86" s="9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50">
      <c r="A87" s="7" t="n"/>
      <c r="B87" s="7" t="n"/>
      <c r="C87" s="7" t="n"/>
      <c r="D87" s="7" t="n"/>
      <c r="E87" s="7" t="n"/>
      <c r="F87" s="7" t="n"/>
      <c r="G87" s="7" t="n"/>
      <c r="H87" s="7" t="n"/>
      <c r="I87" s="9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50">
      <c r="A88" s="7" t="n"/>
      <c r="B88" s="7" t="n"/>
      <c r="C88" s="7" t="n"/>
      <c r="D88" s="7" t="n"/>
      <c r="E88" s="7" t="n"/>
      <c r="F88" s="7" t="n"/>
      <c r="G88" s="7" t="n"/>
      <c r="H88" s="7" t="n"/>
      <c r="I88" s="9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50">
      <c r="A89" s="7" t="n"/>
      <c r="B89" s="7" t="n"/>
      <c r="C89" s="7" t="n"/>
      <c r="D89" s="7" t="n"/>
      <c r="E89" s="7" t="n"/>
      <c r="F89" s="7" t="n"/>
      <c r="G89" s="7" t="n"/>
      <c r="H89" s="7" t="n"/>
      <c r="I89" s="9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50">
      <c r="A90" s="7" t="n"/>
      <c r="B90" s="7" t="n"/>
      <c r="C90" s="7" t="n"/>
      <c r="D90" s="7" t="n"/>
      <c r="E90" s="7" t="n"/>
      <c r="F90" s="7" t="n"/>
      <c r="G90" s="7" t="n"/>
      <c r="H90" s="7" t="n"/>
      <c r="I90" s="9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50">
      <c r="A91" s="7" t="n"/>
      <c r="B91" s="7" t="n"/>
      <c r="C91" s="7" t="n"/>
      <c r="D91" s="7" t="n"/>
      <c r="E91" s="7" t="n"/>
      <c r="F91" s="7" t="n"/>
      <c r="G91" s="7" t="n"/>
      <c r="H91" s="7" t="n"/>
      <c r="I91" s="9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50">
      <c r="A92" s="7" t="n"/>
      <c r="B92" s="7" t="n"/>
      <c r="C92" s="7" t="n"/>
      <c r="D92" s="7" t="n"/>
      <c r="E92" s="7" t="n"/>
      <c r="F92" s="7" t="n"/>
      <c r="G92" s="7" t="n"/>
      <c r="H92" s="7" t="n"/>
      <c r="I92" s="9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50">
      <c r="A93" s="7" t="n"/>
      <c r="B93" s="7" t="n"/>
      <c r="C93" s="7" t="n"/>
      <c r="D93" s="7" t="n"/>
      <c r="E93" s="7" t="n"/>
      <c r="F93" s="7" t="n"/>
      <c r="G93" s="7" t="n"/>
      <c r="H93" s="7" t="n"/>
      <c r="I93" s="9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50">
      <c r="A94" s="7" t="n"/>
      <c r="B94" s="7" t="n"/>
      <c r="C94" s="7" t="n"/>
      <c r="D94" s="7" t="n"/>
      <c r="E94" s="7" t="n"/>
      <c r="F94" s="7" t="n"/>
      <c r="G94" s="7" t="n"/>
      <c r="H94" s="7" t="n"/>
      <c r="I94" s="9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50">
      <c r="A95" s="7" t="n"/>
      <c r="B95" s="7" t="n"/>
      <c r="C95" s="7" t="n"/>
      <c r="D95" s="7" t="n"/>
      <c r="E95" s="7" t="n"/>
      <c r="F95" s="7" t="n"/>
      <c r="G95" s="7" t="n"/>
      <c r="H95" s="7" t="n"/>
      <c r="I95" s="9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50">
      <c r="A96" s="7" t="n"/>
      <c r="B96" s="7" t="n"/>
      <c r="C96" s="7" t="n"/>
      <c r="D96" s="7" t="n"/>
      <c r="E96" s="7" t="n"/>
      <c r="F96" s="7" t="n"/>
      <c r="G96" s="7" t="n"/>
      <c r="H96" s="7" t="n"/>
      <c r="I96" s="9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50">
      <c r="A97" s="7" t="n"/>
      <c r="B97" s="7" t="n"/>
      <c r="C97" s="7" t="n"/>
      <c r="D97" s="7" t="n"/>
      <c r="E97" s="7" t="n"/>
      <c r="F97" s="7" t="n"/>
      <c r="G97" s="7" t="n"/>
      <c r="H97" s="7" t="n"/>
      <c r="I97" s="9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50">
      <c r="A98" s="7" t="n"/>
      <c r="B98" s="7" t="n"/>
      <c r="C98" s="7" t="n"/>
      <c r="D98" s="7" t="n"/>
      <c r="E98" s="7" t="n"/>
      <c r="F98" s="7" t="n"/>
      <c r="G98" s="7" t="n"/>
      <c r="H98" s="7" t="n"/>
      <c r="I98" s="9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50">
      <c r="A99" s="7" t="n"/>
      <c r="B99" s="7" t="n"/>
      <c r="C99" s="7" t="n"/>
      <c r="D99" s="7" t="n"/>
      <c r="E99" s="7" t="n"/>
      <c r="F99" s="7" t="n"/>
      <c r="G99" s="7" t="n"/>
      <c r="H99" s="7" t="n"/>
      <c r="I99" s="9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5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9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50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9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5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9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50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9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5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9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50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9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5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9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50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9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5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9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50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9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5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9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50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9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5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9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50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9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5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9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50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9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5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9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50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9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5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9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50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9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5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9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50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9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5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9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50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9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5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9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50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9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5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9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50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9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5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9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50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9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5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9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50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9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5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9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50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9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5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9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50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9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5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9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50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9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5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9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50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9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5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9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50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9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5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9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50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9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5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9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50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9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5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9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50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9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5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9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50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9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9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50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9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5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9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50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9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5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9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50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9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5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9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50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9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5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9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50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9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5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9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50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9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5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9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50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9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5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9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50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9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5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9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50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9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5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9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50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9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5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9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50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9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5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9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50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9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5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9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50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9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5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9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50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9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5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9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50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9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5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9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50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9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5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9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50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9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5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9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50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9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5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9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50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9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5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9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50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9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5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9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50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9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5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9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50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9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5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9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50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9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5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9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50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9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5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9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50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9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5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9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50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9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5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9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50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9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50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9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50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9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50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9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50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9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50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9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50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9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5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9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50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9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50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9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50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9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50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9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50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9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50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9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50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9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50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9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50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9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5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9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50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9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50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9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50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9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50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9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50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9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50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9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50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9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50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9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50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9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5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9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50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9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50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9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50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9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50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9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50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9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50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9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50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9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50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9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50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9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5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9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50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9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50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9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50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9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50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9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50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9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50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9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50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9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50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9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50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9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9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50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9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50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9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50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9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50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9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50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9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50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9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50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9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50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9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50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9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5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9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50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9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50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9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50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9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50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9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50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9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50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9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50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9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50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9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50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9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5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9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50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9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50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9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50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9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50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9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50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9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50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9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50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9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50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9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50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9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5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9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50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9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50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9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50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9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50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9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50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9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50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9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50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9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50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9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50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9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5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9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50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9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50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9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50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9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50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9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50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9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50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9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50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9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50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9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50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9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5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9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50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9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50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9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50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9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50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9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50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9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50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9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50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9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50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9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50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9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5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9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50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9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50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9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50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9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50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9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50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9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50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9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50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9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50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9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50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9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5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9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50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9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50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9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50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9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50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9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50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9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50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9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50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9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50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9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50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9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5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9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50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9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50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9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50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9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50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9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50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9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50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9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50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9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50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9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50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9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5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9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50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9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50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9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50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9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50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9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50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9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50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9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50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9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50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9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50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9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9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50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9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50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9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50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9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50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9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50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9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50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9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50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9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50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9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50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9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5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9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50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9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50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9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50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9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50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9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50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9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50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9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50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9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50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9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50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9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5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9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50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9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50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9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50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9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50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9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50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9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50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9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50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9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50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9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50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9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5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9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50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9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50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9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50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9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50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9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50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9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50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9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50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9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50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9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50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9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5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9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50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9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50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9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50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9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50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9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50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9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50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9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50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9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50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9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50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9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5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9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50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9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50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9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50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9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50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9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50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9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50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9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50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9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50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9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50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9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5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9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50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9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50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9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50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9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50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9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50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9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50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9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50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9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50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9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50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9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5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9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50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9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50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9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50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9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50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9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50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9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50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9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50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9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50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9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50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9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5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9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50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9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50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9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50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9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50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9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50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9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50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9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50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9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50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9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50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9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5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9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50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9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50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9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50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9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50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9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50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9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50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9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50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9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50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9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50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9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9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50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9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50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9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50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9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50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9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50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9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50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9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50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9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50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9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50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9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5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9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50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9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50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9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50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9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50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9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50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9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50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9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50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9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50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9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50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9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5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9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50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9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50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9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50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9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50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9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50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9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50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9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50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9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50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9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50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9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5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9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50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9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50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9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50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9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50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9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50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9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50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9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50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9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50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9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50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9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5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9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50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9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50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9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50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9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50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9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50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9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50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9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50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9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50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9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50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9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5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9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50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9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50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9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50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9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50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9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50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9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50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9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50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9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50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9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50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9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5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9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50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9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50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9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50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9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50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9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50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9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50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9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50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9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50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9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50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9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5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9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50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9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50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9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50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9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50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9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50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9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50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9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50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9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50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9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50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9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5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9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50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9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50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9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50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9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50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9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50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9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50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9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50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9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50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9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50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9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5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9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50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9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50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9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50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9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50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9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50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9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50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9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50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9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50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9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50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9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9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50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9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50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9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50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9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50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9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50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9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50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9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50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9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50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9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50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9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5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9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50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9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50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9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50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9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50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9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50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9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50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9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50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9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50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9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50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9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5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9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50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9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50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9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50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9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50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9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50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9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50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9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50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9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50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9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50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9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5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9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50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9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50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9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50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9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50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9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50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9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50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9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50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9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50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9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50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9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5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9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50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9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50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9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50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9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50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9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50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9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50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9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50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9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50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9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50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9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5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9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50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9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50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9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50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9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50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9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50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9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50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9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50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9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50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9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50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9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5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9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50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9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50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9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50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9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50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9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50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9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50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9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50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9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50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9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50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9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5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9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50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9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50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9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50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9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50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9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50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9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50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9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50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9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50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9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50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9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5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9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50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9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50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9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50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9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50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9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50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9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50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9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50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9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50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9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50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9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5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9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50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9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50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9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50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9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50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9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50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9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50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9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50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9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50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9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50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9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9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50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9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50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9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50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9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50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9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50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9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50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9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50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9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50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9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50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9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5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9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50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9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50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9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50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9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50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9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50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9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50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9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50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9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50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9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50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9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5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9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50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9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50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9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50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9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50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9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50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9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50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9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50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9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50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9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50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9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5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9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50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9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50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9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50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9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50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9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50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9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50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9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50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9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50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9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50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9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5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9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50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9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50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9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50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9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50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9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50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9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50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9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50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9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50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9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50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9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5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9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50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9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50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9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50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9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50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9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50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9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50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9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50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9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50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9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50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9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5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9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50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9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50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9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50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9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50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9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50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9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50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9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50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9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50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9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50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9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5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9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50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9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50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9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50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9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50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9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50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9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50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9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50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9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50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9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50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9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5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9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50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9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50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9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50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9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50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9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50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9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50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9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50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9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50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9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50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9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5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9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50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9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50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9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50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9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50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9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50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9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50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9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50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9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50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9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50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9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9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50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9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50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9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50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9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50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9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50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9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50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9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50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9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50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9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50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9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5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9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50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9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50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9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50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9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50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9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50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9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50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9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50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9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50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9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50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9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5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9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50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9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50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9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50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9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50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9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50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9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50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9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50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9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50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9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50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9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5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9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50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9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50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9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50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9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50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9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50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9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50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9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50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9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50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9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50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9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5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9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50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9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50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9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50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9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50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9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50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9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50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9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50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9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50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9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50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9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5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9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50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9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50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9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50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9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50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9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50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9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50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9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50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9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50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9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50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9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5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9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50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9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50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9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50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9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50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9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50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9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50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9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50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9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50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9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50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9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5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9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50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9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50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9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50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9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50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9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50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9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50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9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50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9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50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9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50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9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5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9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50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9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50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9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50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9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50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9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50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9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50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9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50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9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50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9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50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9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5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9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50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9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50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9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50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9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50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9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50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9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50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9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50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9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50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9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50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9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9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50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9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50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9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50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9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50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9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50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9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50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9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50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9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50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9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50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9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5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9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50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9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50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9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50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9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50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9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50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9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50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9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50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9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50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9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50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9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5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9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50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9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50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9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50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9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50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9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50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9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50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9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50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9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50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9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50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9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5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9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50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9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50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9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50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9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50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9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50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9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50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9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50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9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50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9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50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9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5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9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50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9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50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9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50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9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50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9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50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9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50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9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50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9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50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9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50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9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5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9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50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9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50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9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50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9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50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9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50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9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50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9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50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9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50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9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50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9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5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9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50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9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50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9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50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9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50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9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50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9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50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9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50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9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50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9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50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9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5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9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50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9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50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9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50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9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50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9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50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9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50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9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50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9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50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9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50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9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5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9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50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9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50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9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50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9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50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9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50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9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50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9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50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9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50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9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50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9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5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9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50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9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50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9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50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9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50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9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50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9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50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9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50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9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50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9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50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9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9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50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9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50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9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50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9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50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9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50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9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50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9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50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9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50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9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50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9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5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9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50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9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50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9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50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9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50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9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50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9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50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9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50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9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50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9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50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9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5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9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50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9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50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9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50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9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50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9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50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9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50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9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50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9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50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9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50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9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5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9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50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9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50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9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50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9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50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9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50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9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50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9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50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9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50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9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50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9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5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9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50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9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50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9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50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9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50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9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50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9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50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9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50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9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50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9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50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9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5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9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5">
    <mergeCell ref="F6:H6"/>
    <mergeCell ref="F5:H5"/>
    <mergeCell ref="B4:H4"/>
    <mergeCell ref="B2:H2"/>
    <mergeCell ref="B3:H3"/>
  </mergeCells>
  <dataValidations count="1">
    <dataValidation sqref="F1 F7:F143" showDropDown="0" showInputMessage="1" showErrorMessage="1" allowBlank="0" prompt=" - " type="list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53125" defaultRowHeight="14.5"/>
  <cols>
    <col width="13.1796875" customWidth="1" style="150" min="1" max="1"/>
    <col width="21.81640625" customWidth="1" style="150" min="2" max="2"/>
    <col width="29.26953125" customWidth="1" style="150" min="3" max="3"/>
    <col width="34.453125" customWidth="1" style="150" min="4" max="4"/>
    <col width="19.26953125" customWidth="1" style="150" min="5" max="5"/>
    <col width="13.54296875" customWidth="1" style="150" min="6" max="6"/>
    <col width="10.26953125" customWidth="1" style="150" min="7" max="7"/>
    <col width="20.1796875" customWidth="1" style="150" min="8" max="8"/>
    <col width="9.453125" customWidth="1" style="150" min="9" max="9"/>
    <col hidden="1" width="7.54296875" customWidth="1" style="150" min="10" max="10"/>
    <col width="10.26953125" customWidth="1" style="150" min="11" max="11"/>
    <col width="9.1796875" customWidth="1" style="150" min="12" max="26"/>
  </cols>
  <sheetData>
    <row r="1" ht="13.5" customHeight="1" s="150">
      <c r="A1" s="71" t="n"/>
      <c r="B1" s="72" t="n"/>
      <c r="C1" s="72" t="n"/>
      <c r="D1" s="72" t="n"/>
      <c r="E1" s="72" t="n"/>
      <c r="F1" s="73" t="n"/>
      <c r="G1" s="74" t="n"/>
      <c r="H1" s="32" t="n"/>
      <c r="I1" s="75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 ht="15" customHeight="1" s="150">
      <c r="A2" s="77" t="inlineStr">
        <is>
          <t>Module Code</t>
        </is>
      </c>
      <c r="B2" s="147" t="inlineStr">
        <is>
          <t>ManageLabels</t>
        </is>
      </c>
      <c r="C2" s="130" t="n"/>
      <c r="D2" s="130" t="n"/>
      <c r="E2" s="130" t="n"/>
      <c r="F2" s="130" t="n"/>
      <c r="G2" s="130" t="n"/>
      <c r="H2" s="131" t="n"/>
      <c r="I2" s="75" t="n"/>
      <c r="J2" s="76" t="inlineStr">
        <is>
          <t>Passed</t>
        </is>
      </c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25.5" customHeight="1" s="150">
      <c r="A3" s="78" t="inlineStr">
        <is>
          <t>Test requirement</t>
        </is>
      </c>
      <c r="B3" s="147" t="inlineStr">
        <is>
          <t>Quản lý Nhãn (Thêm, Sửa, Xóa &amp; Gán nhãn)</t>
        </is>
      </c>
      <c r="C3" s="130" t="n"/>
      <c r="D3" s="130" t="n"/>
      <c r="E3" s="130" t="n"/>
      <c r="F3" s="130" t="n"/>
      <c r="G3" s="130" t="n"/>
      <c r="H3" s="131" t="n"/>
      <c r="I3" s="75" t="n"/>
      <c r="J3" s="76" t="inlineStr">
        <is>
          <t>Failed</t>
        </is>
      </c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 ht="18" customHeight="1" s="150">
      <c r="A4" s="77" t="inlineStr">
        <is>
          <t>Tester</t>
        </is>
      </c>
      <c r="B4" s="147" t="inlineStr">
        <is>
          <t>Trương Trọng Nhân</t>
        </is>
      </c>
      <c r="C4" s="130" t="n"/>
      <c r="D4" s="130" t="n"/>
      <c r="E4" s="130" t="n"/>
      <c r="F4" s="130" t="n"/>
      <c r="G4" s="130" t="n"/>
      <c r="H4" s="131" t="n"/>
      <c r="I4" s="75" t="n"/>
      <c r="J4" s="76" t="inlineStr">
        <is>
          <t>Blocked</t>
        </is>
      </c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 ht="19.5" customHeight="1" s="150">
      <c r="A5" s="79" t="inlineStr">
        <is>
          <t>Passed</t>
        </is>
      </c>
      <c r="B5" s="146" t="inlineStr">
        <is>
          <t>Failed</t>
        </is>
      </c>
      <c r="C5" s="146" t="inlineStr">
        <is>
          <t>Untested</t>
        </is>
      </c>
      <c r="D5" s="146" t="inlineStr">
        <is>
          <t>Blocked</t>
        </is>
      </c>
      <c r="E5" s="80" t="inlineStr">
        <is>
          <t>Skipped</t>
        </is>
      </c>
      <c r="F5" s="146" t="inlineStr">
        <is>
          <t>Number of Test cases</t>
        </is>
      </c>
      <c r="G5" s="130" t="n"/>
      <c r="H5" s="131" t="n"/>
      <c r="I5" s="81" t="n"/>
      <c r="J5" s="76" t="inlineStr">
        <is>
          <t>Untested</t>
        </is>
      </c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 ht="15" customHeight="1" s="150">
      <c r="A6" s="82">
        <f>COUNTIF(F9:F996,"Passed")</f>
        <v/>
      </c>
      <c r="B6" s="83">
        <f>COUNTIF(F9:F996,"Failed")</f>
        <v/>
      </c>
      <c r="C6" s="83">
        <f>F6-E6-D6-B6-A6</f>
        <v/>
      </c>
      <c r="D6" s="83">
        <f>COUNTIF(F$9:F$996,"Blocked")</f>
        <v/>
      </c>
      <c r="E6" s="84">
        <f>COUNTIF(F$9:F$996,"Skipped")</f>
        <v/>
      </c>
      <c r="F6" s="145">
        <f>COUNTA(A9:A996)</f>
        <v/>
      </c>
      <c r="G6" s="130" t="n"/>
      <c r="H6" s="131" t="n"/>
      <c r="I6" s="81" t="n"/>
      <c r="J6" s="76" t="inlineStr">
        <is>
          <t>Skipped</t>
        </is>
      </c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 ht="15" customHeight="1" s="150">
      <c r="A7" s="76" t="n"/>
      <c r="B7" s="76" t="n"/>
      <c r="C7" s="76" t="n"/>
      <c r="D7" s="85" t="n"/>
      <c r="E7" s="85" t="n"/>
      <c r="F7" s="85" t="n"/>
      <c r="G7" s="85" t="n"/>
      <c r="H7" s="85" t="n"/>
      <c r="I7" s="81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 ht="25.5" customHeight="1" s="150">
      <c r="A8" s="86" t="inlineStr">
        <is>
          <t>ID</t>
        </is>
      </c>
      <c r="B8" s="86" t="inlineStr">
        <is>
          <t>Test Case Description</t>
        </is>
      </c>
      <c r="C8" s="86" t="inlineStr">
        <is>
          <t>Test Case Procedure</t>
        </is>
      </c>
      <c r="D8" s="86" t="inlineStr">
        <is>
          <t>Expected Output</t>
        </is>
      </c>
      <c r="E8" s="87" t="inlineStr">
        <is>
          <t>Inter-test case Dependence</t>
        </is>
      </c>
      <c r="F8" s="87" t="inlineStr">
        <is>
          <t>Result</t>
        </is>
      </c>
      <c r="G8" s="87" t="inlineStr">
        <is>
          <t>Test date</t>
        </is>
      </c>
      <c r="H8" s="86" t="inlineStr">
        <is>
          <t>Note</t>
        </is>
      </c>
      <c r="I8" s="88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 ht="94.5" customHeight="1" s="150">
      <c r="A9" s="89">
        <f>IF(OR(B9&lt;&gt;"",D9&lt;&gt;""),"["&amp;TEXT($B$2,"##")&amp;"-"&amp;TEXT(ROW()-8,"##")&amp;"]","")</f>
        <v/>
      </c>
      <c r="B9" s="90" t="inlineStr">
        <is>
          <t>Kiểm tra hiển thị hộp thoại tạo [Nhãn mới]</t>
        </is>
      </c>
      <c r="C9" s="90" t="inlineStr">
        <is>
          <t>Các bước thực hiện:
1. Tại thanh menu bên trái, nhấp vào dấu [+] bên cạnh mục "Nhãn" (Labels)</t>
        </is>
      </c>
      <c r="D9" s="90" t="inlineStr">
        <is>
          <t>1. Hộp thoại [Nhãn mới] (New label) hiển thị gồm ô nhập tên nhãn, tùy chọn [Đặt nhãn bên trong] và nút [Tạo] / [Hủy].</t>
        </is>
      </c>
      <c r="E9" s="91" t="n"/>
      <c r="F9" s="89" t="inlineStr">
        <is>
          <t>Untested</t>
        </is>
      </c>
      <c r="G9" s="92" t="n"/>
      <c r="H9" s="93" t="n"/>
      <c r="I9" s="94" t="n"/>
      <c r="J9" s="95" t="n"/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  <c r="X9" s="95" t="n"/>
      <c r="Y9" s="95" t="n"/>
      <c r="Z9" s="95" t="n"/>
    </row>
    <row r="10" ht="67.5" customHeight="1" s="150">
      <c r="A10" s="89">
        <f>IF(OR(B10&lt;&gt;"",D10&lt;&gt;""),"["&amp;TEXT($B$2,"##")&amp;"-"&amp;TEXT(ROW()-8,"##")&amp;"]","")</f>
        <v/>
      </c>
      <c r="B10" s="90" t="inlineStr">
        <is>
          <t>Tạo nhãn mới với tên hợp lệ</t>
        </is>
      </c>
      <c r="C10" s="90" t="inlineStr">
        <is>
          <t>Các bước thực hiện:
1. Nhấp dấu [+] tạo nhãn mới ở menu trái
2. Nhập tên nhãn ["DuAn_2026"]
3. Nhấp nút [Tạo] (Create)</t>
        </is>
      </c>
      <c r="D10" s="90" t="inlineStr">
        <is>
          <t>3. Hộp thoại đóng lại; thông báo 'Đã tạo nhãn "DuAn_2026"' xuất hiện và nhãn "DuAn_2026" hiển thị ở danh sách bên trái.</t>
        </is>
      </c>
      <c r="E10" s="91" t="n"/>
      <c r="F10" s="89" t="inlineStr">
        <is>
          <t>Untested</t>
        </is>
      </c>
      <c r="G10" s="92" t="n"/>
      <c r="H10" s="93" t="n"/>
      <c r="I10" s="94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</row>
    <row r="11" ht="81" customHeight="1" s="150">
      <c r="A11" s="89">
        <f>IF(OR(B11&lt;&gt;"",D11&lt;&gt;""),"["&amp;TEXT($B$2,"##")&amp;"-"&amp;TEXT(ROW()-8,"##")&amp;"]","")</f>
        <v/>
      </c>
      <c r="B11" s="90" t="inlineStr">
        <is>
          <t>Tạo nhãn con lồng bên dưới nhãn cha</t>
        </is>
      </c>
      <c r="C11" s="90" t="inlineStr">
        <is>
          <t>Điều kiện tiên quyết:
+ Đã có sẵn nhãn cha ["DuAn_2026"]
Các bước thực hiện:
1. Nhấp dấu [+] tạo nhãn mới
2. Nhập tên ["GiaiDoan_1"]
3. Tích chọn [Đặt nhãn bên trong] và chọn ["DuAn_2026"]
4. Nhấp nút [Tạo]</t>
        </is>
      </c>
      <c r="D11" s="90" t="inlineStr">
        <is>
          <t>4. Nhãn con "GiaiDoan_1" được tạo thành công và nằm thụt lề bên dưới nhãn cha "DuAn_2026".</t>
        </is>
      </c>
      <c r="E11" s="91" t="n"/>
      <c r="F11" s="89" t="inlineStr">
        <is>
          <t>Untested</t>
        </is>
      </c>
      <c r="G11" s="92" t="n"/>
      <c r="H11" s="93" t="n"/>
      <c r="I11" s="94" t="n"/>
      <c r="J11" s="95" t="n"/>
      <c r="K11" s="95" t="n"/>
      <c r="L11" s="95" t="n"/>
      <c r="M11" s="95" t="n"/>
      <c r="N11" s="95" t="n"/>
      <c r="O11" s="95" t="n"/>
      <c r="P11" s="95" t="n"/>
      <c r="Q11" s="95" t="n"/>
      <c r="R11" s="95" t="n"/>
      <c r="S11" s="95" t="n"/>
      <c r="T11" s="95" t="n"/>
      <c r="U11" s="95" t="n"/>
      <c r="V11" s="95" t="n"/>
      <c r="W11" s="95" t="n"/>
      <c r="X11" s="95" t="n"/>
      <c r="Y11" s="95" t="n"/>
      <c r="Z11" s="95" t="n"/>
    </row>
    <row r="12" ht="67.5" customHeight="1" s="150">
      <c r="A12" s="89">
        <f>IF(OR(B12&lt;&gt;"",D12&lt;&gt;""),"["&amp;TEXT($B$2,"##")&amp;"-"&amp;TEXT(ROW()-8,"##")&amp;"]","")</f>
        <v/>
      </c>
      <c r="B12" s="90" t="inlineStr">
        <is>
          <t>Tạo nhãn mới khi để trống tên nhãn</t>
        </is>
      </c>
      <c r="C12" s="90" t="inlineStr">
        <is>
          <t>Các bước thực hiện:
1. Nhấp dấu [+] tạo nhãn mới
2. Để trống ô nhập tên nhãn
3. Quan sát hoặc nhấp vào nút [Tạo]</t>
        </is>
      </c>
      <c r="D12" s="90" t="inlineStr">
        <is>
          <t>3. Hệ thống không cho phép tạo nhãn rỗng (Nút [Tạo] bị vô hiệu hóa hoặc hiện thông báo nhắc nhập tên).</t>
        </is>
      </c>
      <c r="E12" s="91" t="n"/>
      <c r="F12" s="89" t="inlineStr">
        <is>
          <t>Untested</t>
        </is>
      </c>
      <c r="G12" s="92" t="n"/>
      <c r="H12" s="93" t="n"/>
      <c r="I12" s="94" t="n"/>
      <c r="J12" s="95" t="n"/>
      <c r="K12" s="95" t="n"/>
      <c r="L12" s="95" t="n"/>
      <c r="M12" s="95" t="n"/>
      <c r="N12" s="95" t="n"/>
      <c r="O12" s="95" t="n"/>
      <c r="P12" s="95" t="n"/>
      <c r="Q12" s="95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</row>
    <row r="13" ht="108" customHeight="1" s="150">
      <c r="A13" s="89">
        <f>IF(OR(B13&lt;&gt;"",D13&lt;&gt;""),"["&amp;TEXT($B$2,"##")&amp;"-"&amp;TEXT(ROW()-8,"##")&amp;"]","")</f>
        <v/>
      </c>
      <c r="B13" s="90" t="inlineStr">
        <is>
          <t>Tạo nhãn mới trùng tên với nhãn đã có</t>
        </is>
      </c>
      <c r="C13" s="90" t="inlineStr">
        <is>
          <t>Điều kiện tiên quyết:
+ Nhãn ["DuAn_2026"] đã tồn tại
Các bước thực hiện:
1. Nhấp dấu [+] tạo nhãn mới
2. Nhập lại tên ["DuAn_2026"]
3. Nhấp nút [Tạo]</t>
        </is>
      </c>
      <c r="D13" s="90" t="inlineStr">
        <is>
          <t>3. Hiển thị thông báo lỗi "Tên nhãn bạn chọn đã tồn tại. Vui lòng thử tên khác."</t>
        </is>
      </c>
      <c r="E13" s="91" t="n"/>
      <c r="F13" s="89" t="inlineStr">
        <is>
          <t>Untested</t>
        </is>
      </c>
      <c r="G13" s="92" t="n"/>
      <c r="H13" s="93" t="n"/>
      <c r="I13" s="94" t="n"/>
      <c r="J13" s="95" t="n"/>
      <c r="K13" s="95" t="n"/>
      <c r="L13" s="95" t="n"/>
      <c r="M13" s="95" t="n"/>
      <c r="N13" s="95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  <c r="Y13" s="95" t="n"/>
      <c r="Z13" s="95" t="n"/>
    </row>
    <row r="14" ht="67.5" customHeight="1" s="150">
      <c r="A14" s="89">
        <f>IF(OR(B14&lt;&gt;"",D14&lt;&gt;""),"["&amp;TEXT($B$2,"##")&amp;"-"&amp;TEXT(ROW()-8,"##")&amp;"]","")</f>
        <v/>
      </c>
      <c r="B14" s="90" t="inlineStr">
        <is>
          <t>Hủy thao tác tạo nhãn mới</t>
        </is>
      </c>
      <c r="C14" s="90" t="inlineStr">
        <is>
          <t>Các bước thực hiện:
1. Nhấp dấu [+] tạo nhãn mới
2. Nhập ["Nhan_Tam"]
3. Nhấp nút [Hủy] (Cancel)</t>
        </is>
      </c>
      <c r="D14" s="90" t="inlineStr">
        <is>
          <t>3. Hộp thoại đóng lại và nhãn "Nhan_Tam" KHÔNG xuất hiện trên thanh menu trái.</t>
        </is>
      </c>
      <c r="E14" s="91" t="n"/>
      <c r="F14" s="89" t="inlineStr">
        <is>
          <t>Untested</t>
        </is>
      </c>
      <c r="G14" s="92" t="n"/>
      <c r="H14" s="93" t="n"/>
      <c r="I14" s="94" t="n"/>
      <c r="J14" s="95" t="n"/>
      <c r="K14" s="95" t="n"/>
      <c r="L14" s="95" t="n"/>
      <c r="M14" s="95" t="n"/>
      <c r="N14" s="95" t="n"/>
      <c r="O14" s="95" t="n"/>
      <c r="P14" s="95" t="n"/>
      <c r="Q14" s="95" t="n"/>
      <c r="R14" s="95" t="n"/>
      <c r="S14" s="95" t="n"/>
      <c r="T14" s="95" t="n"/>
      <c r="U14" s="95" t="n"/>
      <c r="V14" s="95" t="n"/>
      <c r="W14" s="95" t="n"/>
      <c r="X14" s="95" t="n"/>
      <c r="Y14" s="95" t="n"/>
      <c r="Z14" s="95" t="n"/>
    </row>
    <row r="15" ht="81" customHeight="1" s="150">
      <c r="A15" s="89">
        <f>IF(OR(B15&lt;&gt;"",D15&lt;&gt;""),"["&amp;TEXT($B$2,"##")&amp;"-"&amp;TEXT(ROW()-8,"##")&amp;"]","")</f>
        <v/>
      </c>
      <c r="B15" s="90" t="inlineStr">
        <is>
          <t>Đổi tên một nhãn đang tồn tại</t>
        </is>
      </c>
      <c r="C15" s="90" t="inlineStr">
        <is>
          <t>Điều kiện tiên quyết:
+ Nhãn ["DuAn_2026"] đang tồn tại
Các bước thực hiện:
1. Di chuột vào nhãn ["DuAn_2026"] ở menu trái -&gt; Nhấp biểu tượng 3 chấm dọc
2. Chọn [Chỉnh sửa] (Edit)
3. Sửa tên thành ["DuAn_CapNhat"] rồi nhấp [Lưu]</t>
        </is>
      </c>
      <c r="D15" s="90" t="inlineStr">
        <is>
          <t>3. Tên nhãn trên thanh menu trái và trên các email đã gán nhãn được cập nhật thành "DuAn_CapNhat".</t>
        </is>
      </c>
      <c r="E15" s="91" t="n"/>
      <c r="F15" s="89" t="inlineStr">
        <is>
          <t>Untested</t>
        </is>
      </c>
      <c r="G15" s="92" t="n"/>
      <c r="H15" s="93" t="n"/>
      <c r="I15" s="96" t="n"/>
      <c r="J15" s="76" t="n"/>
      <c r="K15" s="76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67.5" customHeight="1" s="150">
      <c r="A16" s="89">
        <f>IF(OR(B16&lt;&gt;"",D16&lt;&gt;""),"["&amp;TEXT($B$2,"##")&amp;"-"&amp;TEXT(ROW()-8,"##")&amp;"]","")</f>
        <v/>
      </c>
      <c r="B16" s="90" t="inlineStr">
        <is>
          <t>Đổi màu sắc nhận diện cho nhãn</t>
        </is>
      </c>
      <c r="C16" s="90" t="inlineStr">
        <is>
          <t>Các bước thực hiện:
1. Nhấp biểu tượng 3 chấm dọc cạnh nhãn ["DuAn_CapNhat"]
2. Di chuột vào mục [Màu nhãn] (Label color) -&gt; Chọn màu Xanh lá</t>
        </is>
      </c>
      <c r="D16" s="90" t="inlineStr">
        <is>
          <t>2. Biểu tượng của nhãn ở menu trái và thẻ nhãn đính trên email đổi sang màu Xanh lá ngay lập tức.</t>
        </is>
      </c>
      <c r="E16" s="91" t="inlineStr">
        <is>
          <t>ManageLabels-7</t>
        </is>
      </c>
      <c r="F16" s="89" t="inlineStr">
        <is>
          <t>Untested</t>
        </is>
      </c>
      <c r="G16" s="92" t="n"/>
      <c r="H16" s="93" t="n"/>
      <c r="I16" s="94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08" customHeight="1" s="150">
      <c r="A17" s="89">
        <f>IF(OR(B17&lt;&gt;"",D17&lt;&gt;""),"["&amp;TEXT($B$2,"##")&amp;"-"&amp;TEXT(ROW()-8,"##")&amp;"]","")</f>
        <v/>
      </c>
      <c r="B17" s="90" t="inlineStr">
        <is>
          <t>Ẩn nhãn khỏi danh sách menu bên trái</t>
        </is>
      </c>
      <c r="C17" s="90" t="inlineStr">
        <is>
          <t>Các bước thực hiện:
1. Nhấp biểu tượng 3 chấm dọc cạnh nhãn ["DuAn_CapNhat"]
2. Trong mục "Trong danh sách nhãn", chọn [Ẩn] (Hide)</t>
        </is>
      </c>
      <c r="D17" s="90" t="inlineStr">
        <is>
          <t>2. Nhãn "DuAn_CapNhat" được ẩn khỏi danh sách chính và chuyển vào mục thu gọn [Danh sách mở rộng / More].</t>
        </is>
      </c>
      <c r="E17" s="91" t="inlineStr">
        <is>
          <t>ManageLabels-7</t>
        </is>
      </c>
      <c r="F17" s="89" t="inlineStr">
        <is>
          <t>Untested</t>
        </is>
      </c>
      <c r="G17" s="92" t="n"/>
      <c r="H17" s="93" t="n"/>
      <c r="I17" s="9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50">
      <c r="A18" s="7">
        <f>IF(OR(B18&lt;&gt;"",D18&lt;&gt;""),"["&amp;TEXT($B$2,"##")&amp;"-"&amp;TEXT(ROW()-8,"##")&amp;"]","")</f>
        <v/>
      </c>
      <c r="B18" s="7" t="inlineStr">
        <is>
          <t>Gán 1 nhãn cho email đơn lẻ</t>
        </is>
      </c>
      <c r="C18" s="7" t="inlineStr">
        <is>
          <t>Các bước thực hiện:
1. Tại Hộp thư đến, tích chọn 1 email
2. Nhấp biểu tượng [Nhãn] trên thanh công cụ phía trên
3. Tích chọn ["DuAn_CapNhat"] và nhấn [Áp dụng] (Apply)</t>
        </is>
      </c>
      <c r="D18" s="7" t="inlineStr">
        <is>
          <t>3. Thẻ nhãn "DuAn_CapNhat" hiển thị ngay bên cạnh tiêu đề của email đó trong Hộp thư đến.</t>
        </is>
      </c>
      <c r="E18" s="7" t="inlineStr">
        <is>
          <t>ManageLabels-7</t>
        </is>
      </c>
      <c r="F18" s="7" t="inlineStr">
        <is>
          <t>Untested</t>
        </is>
      </c>
      <c r="G18" s="7" t="n"/>
      <c r="H18" s="7" t="n"/>
      <c r="I18" s="9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50">
      <c r="A19" s="7">
        <f>IF(OR(B19&lt;&gt;"",D19&lt;&gt;""),"["&amp;TEXT($B$2,"##")&amp;"-"&amp;TEXT(ROW()-8,"##")&amp;"]","")</f>
        <v/>
      </c>
      <c r="B19" s="7" t="inlineStr">
        <is>
          <t>Gán nhiều nhãn cùng lúc cho 1 email</t>
        </is>
      </c>
      <c r="C19" s="7" t="inlineStr">
        <is>
          <t>Điều kiện tiên quyết:
+ Có sẵn 2 nhãn ["Nhan_A"] và ["Nhan_B"]
Các bước thực hiện:
1. Tích chọn 1 email trong Hộp thư đến
2. Nhấp biểu tượng [Nhãn] -&gt; Tích chọn cả ["Nhan_A"] và ["Nhan_B"]
3. Nhấn [Áp dụng]</t>
        </is>
      </c>
      <c r="D19" s="7" t="inlineStr">
        <is>
          <t>3. Email hiển thị đồng thời cả 2 thẻ nhãn "Nhan_A" và "Nhan_B".</t>
        </is>
      </c>
      <c r="E19" s="7" t="n"/>
      <c r="F19" s="7" t="inlineStr">
        <is>
          <t>Untested</t>
        </is>
      </c>
      <c r="G19" s="7" t="n"/>
      <c r="H19" s="7" t="n"/>
      <c r="I19" s="9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50">
      <c r="A20" s="7">
        <f>IF(OR(B20&lt;&gt;"",D20&lt;&gt;""),"["&amp;TEXT($B$2,"##")&amp;"-"&amp;TEXT(ROW()-8,"##")&amp;"]","")</f>
        <v/>
      </c>
      <c r="B20" s="7" t="inlineStr">
        <is>
          <t>Gán nhãn hàng loạt cho nhiều email cùng lúc</t>
        </is>
      </c>
      <c r="C20" s="7" t="inlineStr">
        <is>
          <t>Các bước thực hiện:
1. Tích chọn cùng lúc 3 email trong Hộp thư đến
2. Nhấp biểu tượng [Nhãn] -&gt; Tích chọn ["DuAn_CapNhat"] -&gt; Nhấn [Áp dụng]</t>
        </is>
      </c>
      <c r="D20" s="7" t="inlineStr">
        <is>
          <t>2. Cả 3 email được chọn đều hiển thị thẻ nhãn "DuAn_CapNhat".</t>
        </is>
      </c>
      <c r="E20" s="7" t="inlineStr">
        <is>
          <t>ManageLabels-7</t>
        </is>
      </c>
      <c r="F20" s="7" t="inlineStr">
        <is>
          <t>Untested</t>
        </is>
      </c>
      <c r="G20" s="7" t="n"/>
      <c r="H20" s="7" t="n"/>
      <c r="I20" s="9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50">
      <c r="A21" s="7">
        <f>IF(OR(B21&lt;&gt;"",D21&lt;&gt;""),"["&amp;TEXT($B$2,"##")&amp;"-"&amp;TEXT(ROW()-8,"##")&amp;"]","")</f>
        <v/>
      </c>
      <c r="B21" s="7" t="inlineStr">
        <is>
          <t>Gỡ bỏ nhãn đã gán khỏi email</t>
        </is>
      </c>
      <c r="C21" s="7" t="inlineStr">
        <is>
          <t>Điều kiện tiên quyết:
+ Có email đang được gán nhãn ["DuAn_CapNhat"]
Các bước thực hiện:
1. Mở chi tiết email đó (hoặc quan sát ngoài danh sách)
2. Nhấp vào dấu [x] trên thẻ nhãn ["DuAn_CapNhat"]</t>
        </is>
      </c>
      <c r="D21" s="7" t="inlineStr">
        <is>
          <t>2. Thẻ nhãn "DuAn_CapNhat" bị gỡ bỏ khỏi email đó.</t>
        </is>
      </c>
      <c r="E21" s="7" t="inlineStr">
        <is>
          <t>ManageLabels-7</t>
        </is>
      </c>
      <c r="F21" s="7" t="inlineStr">
        <is>
          <t>Untested</t>
        </is>
      </c>
      <c r="G21" s="7" t="n"/>
      <c r="H21" s="7" t="n"/>
      <c r="I21" s="9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50">
      <c r="A22" s="7">
        <f>IF(OR(B22&lt;&gt;"",D22&lt;&gt;""),"["&amp;TEXT($B$2,"##")&amp;"-"&amp;TEXT(ROW()-8,"##")&amp;"]","")</f>
        <v/>
      </c>
      <c r="B22" s="7" t="inlineStr">
        <is>
          <t>Lọc danh sách thư theo Nhãn ở menu trái</t>
        </is>
      </c>
      <c r="C22" s="7" t="inlineStr">
        <is>
          <t>Điều kiện tiên quyết:
+ Có 2 email đã được gán nhãn ["DuAn_CapNhat"]
Các bước thực hiện:
1. Nhấp chuột vào tên nhãn ["DuAn_CapNhat"] trên thanh menu bên trái</t>
        </is>
      </c>
      <c r="D22" s="7" t="inlineStr">
        <is>
          <t>1. Màn hình danh sách thư chỉ lọc và hiển thị đúng 2 email mang nhãn "DuAn_CapNhat".</t>
        </is>
      </c>
      <c r="E22" s="7" t="inlineStr">
        <is>
          <t>ManageLabels-7</t>
        </is>
      </c>
      <c r="F22" s="7" t="inlineStr">
        <is>
          <t>Untested</t>
        </is>
      </c>
      <c r="G22" s="7" t="n"/>
      <c r="H22" s="7" t="n"/>
      <c r="I22" s="9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50">
      <c r="A23" s="7">
        <f>IF(OR(B23&lt;&gt;"",D23&lt;&gt;""),"["&amp;TEXT($B$2,"##")&amp;"-"&amp;TEXT(ROW()-8,"##")&amp;"]","")</f>
        <v/>
      </c>
      <c r="B23" s="7" t="inlineStr">
        <is>
          <t>Xóa một nhãn đang tồn tại</t>
        </is>
      </c>
      <c r="C23" s="7" t="inlineStr">
        <is>
          <t>Các bước thực hiện:
1. Nhấp biểu tượng 3 chấm dọc cạnh nhãn ["DuAn_CapNhat"]
2. Chọn [Xóa nhãn] (Remove label)
3. Nhấp nút [Xóa] (Delete) trên hộp thoại xác nhận</t>
        </is>
      </c>
      <c r="D23" s="7" t="inlineStr">
        <is>
          <t>3. Nhãn "DuAn_CapNhat" bị xóa khỏi menu trái và gỡ khỏi các thư; các email vẫn được giữ nguyên trong Hộp thư đến.</t>
        </is>
      </c>
      <c r="E23" s="7" t="inlineStr">
        <is>
          <t>ManageLabels-7</t>
        </is>
      </c>
      <c r="F23" s="7" t="inlineStr">
        <is>
          <t>Untested</t>
        </is>
      </c>
      <c r="G23" s="7" t="n"/>
      <c r="H23" s="7" t="n"/>
      <c r="I23" s="9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50">
      <c r="A24" s="7">
        <f>IF(OR(B24&lt;&gt;"",D24&lt;&gt;""),"["&amp;TEXT($B$2,"##")&amp;"-"&amp;TEXT(ROW()-8,"##")&amp;"]","")</f>
        <v/>
      </c>
      <c r="B24" s="7" t="inlineStr">
        <is>
          <t>Hủy thao tác xóa nhãn</t>
        </is>
      </c>
      <c r="C24" s="7" t="inlineStr">
        <is>
          <t>Các bước thực hiện:
1. Nhấp biểu tượng 3 chấm dọc cạnh 1 nhãn -&gt; Chọn [Xóa nhãn]
2. Nhấp nút [Hủy] (Cancel) trên hộp thoại xác nhận</t>
        </is>
      </c>
      <c r="D24" s="7" t="inlineStr">
        <is>
          <t>2. Hộp thoại đóng lại và nhãn vẫn tồn tại bình thường trên thanh menu trái.</t>
        </is>
      </c>
      <c r="E24" s="7" t="n"/>
      <c r="F24" s="7" t="inlineStr">
        <is>
          <t>Untested</t>
        </is>
      </c>
      <c r="G24" s="7" t="n"/>
      <c r="H24" s="7" t="n"/>
      <c r="I24" s="9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50">
      <c r="A25" s="7">
        <f>IF(OR(B25&lt;&gt;"",D25&lt;&gt;""),"["&amp;TEXT($B$2,"##")&amp;"-"&amp;TEXT(ROW()-8,"##")&amp;"]","")</f>
        <v/>
      </c>
      <c r="B25" s="7" t="inlineStr">
        <is>
          <t>Tạo nhãn mới trực tiếp từ thanh công cụ khi đang xem email</t>
        </is>
      </c>
      <c r="C25" s="7" t="inlineStr">
        <is>
          <t>Điều kiện tiên quyết:
+ Đang mở xem chi tiết một email
Các bước thực hiện:
1. Nhấp biểu tượng [Nhãn] trên thanh công cụ
2. Nhập tên nhãn mới ["Nhan_Tu_Toolbar"] vào ô tìm kiếm nhãn
3. Nhấp tùy chọn [Tạo mới "Nhan_Tu_Toolbar"]
4. Nhấp nút [Tạo] trên popup xác nhận</t>
        </is>
      </c>
      <c r="D25" s="7" t="inlineStr">
        <is>
          <t>4. Nhãn mới được tạo thành công, xuất hiện ở menu trái đồng thời được gán ngay vào email hiện tại.</t>
        </is>
      </c>
      <c r="E25" s="7" t="n"/>
      <c r="F25" s="7" t="inlineStr">
        <is>
          <t>Untested</t>
        </is>
      </c>
      <c r="G25" s="7" t="n"/>
      <c r="H25" s="7" t="n"/>
      <c r="I25" s="9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50">
      <c r="A26" s="7">
        <f>IF(OR(B26&lt;&gt;"",D26&lt;&gt;""),"["&amp;TEXT($B$2,"##")&amp;"-"&amp;TEXT(ROW()-8,"##")&amp;"]","")</f>
        <v/>
      </c>
      <c r="B26" s="7" t="inlineStr">
        <is>
          <t>Tạo nhãn với tên chứa ký tự tiếng Việt có dấu và khoảng trắng</t>
        </is>
      </c>
      <c r="C26" s="7" t="inlineStr">
        <is>
          <t>Các bước thực hiện:
1. Nhấp dấu [+] tạo nhãn mới ở menu trái
2. Nhập tên nhãn ["Tài liệu Dự án 2026"]
3. Nhấp nút [Tạo]</t>
        </is>
      </c>
      <c r="D26" s="7" t="inlineStr">
        <is>
          <t>3. Hệ thống tạo nhãn thành công; font chữ và dấu tiếng Việt hiển thị chính xác, không bị lỗi font hay ký tự lạ.</t>
        </is>
      </c>
      <c r="E26" s="7" t="n"/>
      <c r="F26" s="7" t="inlineStr">
        <is>
          <t>Untested</t>
        </is>
      </c>
      <c r="G26" s="7" t="n"/>
      <c r="H26" s="7" t="n"/>
      <c r="I26" s="9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50">
      <c r="A27" s="7">
        <f>IF(OR(B27&lt;&gt;"",D27&lt;&gt;""),"["&amp;TEXT($B$2,"##")&amp;"-"&amp;TEXT(ROW()-8,"##")&amp;"]","")</f>
        <v/>
      </c>
      <c r="B27" s="7" t="inlineStr">
        <is>
          <t>Tạo nhãn chứa ký tự đặc biệt hợp lệ và emoji</t>
        </is>
      </c>
      <c r="C27" s="7" t="inlineStr">
        <is>
          <t>Các bước thực hiện:
1. Nhấp dấu [+] tạo nhãn mới
2. Nhập tên nhãn ["[KHẨN] - Dự án ⭐"]
3. Nhấp nút [Tạo]</t>
        </is>
      </c>
      <c r="D27" s="7" t="inlineStr">
        <is>
          <t>3. Hệ thống cho phép tạo nhãn chứa các ký tự hợp lệ và hiển thị trực quan trên menu.</t>
        </is>
      </c>
      <c r="E27" s="7" t="n"/>
      <c r="F27" s="7" t="inlineStr">
        <is>
          <t>Untested</t>
        </is>
      </c>
      <c r="G27" s="7" t="n"/>
      <c r="H27" s="7" t="n"/>
      <c r="I27" s="9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50">
      <c r="A28" s="7">
        <f>IF(OR(B28&lt;&gt;"",D28&lt;&gt;""),"["&amp;TEXT($B$2,"##")&amp;"-"&amp;TEXT(ROW()-8,"##")&amp;"]","")</f>
        <v/>
      </c>
      <c r="B28" s="7" t="inlineStr">
        <is>
          <t>Kiểm tra giới hạn độ dài tên nhãn (Boundary)</t>
        </is>
      </c>
      <c r="C28" s="7" t="inlineStr">
        <is>
          <t>Các bước thực hiện:
1. Nhấp dấu [+] tạo nhãn mới
2. Dán một chuỗi văn bản dài trên 225 ký tự vào ô tên nhãn
3. Nhấp nút [Tạo]</t>
        </is>
      </c>
      <c r="D28" s="7" t="inlineStr">
        <is>
          <t>3. Hệ thống giới hạn tối đa độ dài ký tự cho phép hoặc cắt ngắn phù hợp, không làm vỡ layout giao diện menu trái.</t>
        </is>
      </c>
      <c r="E28" s="7" t="n"/>
      <c r="F28" s="7" t="inlineStr">
        <is>
          <t>Untested</t>
        </is>
      </c>
      <c r="G28" s="7" t="n"/>
      <c r="H28" s="7" t="n"/>
      <c r="I28" s="9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50">
      <c r="A29" s="7">
        <f>IF(OR(B29&lt;&gt;"",D29&lt;&gt;""),"["&amp;TEXT($B$2,"##")&amp;"-"&amp;TEXT(ROW()-8,"##")&amp;"]","")</f>
        <v/>
      </c>
      <c r="B29" s="7" t="inlineStr">
        <is>
          <t>Tạo cấu trúc nhãn con lồng 3 cấp (Cha / Con / Cháu)</t>
        </is>
      </c>
      <c r="C29" s="7" t="inlineStr">
        <is>
          <t>Điều kiện tiên quyết:
+ Đã có sẵn nhãn cha ["DuAn_2026"] và nhãn con ["GiaiDoan_1"]
Các bước thực hiện:
1. Nhấp dấu [+] tạo nhãn mới
2. Nhập tên ["Module_A"]
3. Tích [Đặt nhãn bên trong] và chọn ["DuAn_2026/GiaiDoan_1"]
4. Nhấp [Tạo]</t>
        </is>
      </c>
      <c r="D29" s="7" t="inlineStr">
        <is>
          <t>4. Nhãn "Module_A" hiển thị thụt lề cấp 3 bên dưới "GiaiDoan_1" thuộc cấu trúc cây nhãn đa cấp.</t>
        </is>
      </c>
      <c r="E29" s="7" t="inlineStr">
        <is>
          <t>ManageLabels-3</t>
        </is>
      </c>
      <c r="F29" s="7" t="inlineStr">
        <is>
          <t>Untested</t>
        </is>
      </c>
      <c r="G29" s="7" t="n"/>
      <c r="H29" s="7" t="n"/>
      <c r="I29" s="9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50">
      <c r="A30" s="7">
        <f>IF(OR(B30&lt;&gt;"",D30&lt;&gt;""),"["&amp;TEXT($B$2,"##")&amp;"-"&amp;TEXT(ROW()-8,"##")&amp;"]","")</f>
        <v/>
      </c>
      <c r="B30" s="7" t="inlineStr">
        <is>
          <t>Đổi màu nhãn bằng cách tùy chỉnh màu (Add custom color)</t>
        </is>
      </c>
      <c r="C30" s="7" t="inlineStr">
        <is>
          <t>Điều kiện tiên quyết:
+ Đang có nhãn ["DuAn_CapNhat"]
Các bước thực hiện:
1. Nhấp dấu 3 chấm cạnh ["DuAn_CapNhat"] -&gt; [Màu nhãn]
2. Chọn [Thêm màu tùy chỉnh] (Add custom color)
3. Chọn màu nền và màu chữ tùy ý rồi nhấp [Áp dụng]</t>
        </is>
      </c>
      <c r="D30" s="7" t="inlineStr">
        <is>
          <t>3. Nhãn được áp dụng màu sắc tùy chỉnh theo đúng mã màu vừa thiết lập.</t>
        </is>
      </c>
      <c r="E30" s="7" t="inlineStr">
        <is>
          <t>ManageLabels-7</t>
        </is>
      </c>
      <c r="F30" s="7" t="inlineStr">
        <is>
          <t>Untested</t>
        </is>
      </c>
      <c r="G30" s="7" t="n"/>
      <c r="H30" s="7" t="n"/>
      <c r="I30" s="9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50">
      <c r="A31" s="7">
        <f>IF(OR(B31&lt;&gt;"",D31&lt;&gt;""),"["&amp;TEXT($B$2,"##")&amp;"-"&amp;TEXT(ROW()-8,"##")&amp;"]","")</f>
        <v/>
      </c>
      <c r="B31" s="7" t="inlineStr">
        <is>
          <t>Xóa màu sắc tùy chỉnh của nhãn (Khôi phục màu mặc định)</t>
        </is>
      </c>
      <c r="C31" s="7" t="inlineStr">
        <is>
          <t>Các bước thực hiện:
1. Nhấp dấu 3 chấm cạnh nhãn đang có màu
2. Chọn [Màu nhãn] -&gt; Nhấp [Xóa màu] (Remove color)</t>
        </is>
      </c>
      <c r="D31" s="7" t="inlineStr">
        <is>
          <t>2. Thẻ nhãn quay về màu xám mặc định ban đầu của Gmail.</t>
        </is>
      </c>
      <c r="E31" s="7" t="inlineStr">
        <is>
          <t>ManageLabels-8</t>
        </is>
      </c>
      <c r="F31" s="7" t="inlineStr">
        <is>
          <t>Untested</t>
        </is>
      </c>
      <c r="G31" s="7" t="n"/>
      <c r="H31" s="7" t="n"/>
      <c r="I31" s="9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50">
      <c r="A32" s="7">
        <f>IF(OR(B32&lt;&gt;"",D32&lt;&gt;""),"["&amp;TEXT($B$2,"##")&amp;"-"&amp;TEXT(ROW()-8,"##")&amp;"]","")</f>
        <v/>
      </c>
      <c r="B32" s="7" t="inlineStr">
        <is>
          <t>Gán nhãn bằng thao tác Kéo - Thả (Drag and Drop)</t>
        </is>
      </c>
      <c r="C32" s="7" t="inlineStr">
        <is>
          <t>Các bước thực hiện:
1. Tại Hộp thư đến, nhấp giữ chuột vào một hàng email
2. Kéo và thả email đó vào tên nhãn ["DuAn_CapNhat"] ở menu bên trái</t>
        </is>
      </c>
      <c r="D32" s="7" t="inlineStr">
        <is>
          <t>2. Thẻ nhãn "DuAn_CapNhat" được gắn vào email; email vẫn hiển thị trong Hộp thư đến.</t>
        </is>
      </c>
      <c r="E32" s="7" t="inlineStr">
        <is>
          <t>ManageLabels-7</t>
        </is>
      </c>
      <c r="F32" s="7" t="inlineStr">
        <is>
          <t>Untested</t>
        </is>
      </c>
      <c r="G32" s="7" t="n"/>
      <c r="H32" s="7" t="n"/>
      <c r="I32" s="9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50">
      <c r="A33" s="7">
        <f>IF(OR(B33&lt;&gt;"",D33&lt;&gt;""),"["&amp;TEXT($B$2,"##")&amp;"-"&amp;TEXT(ROW()-8,"##")&amp;"]","")</f>
        <v/>
      </c>
      <c r="B33" s="7" t="inlineStr">
        <is>
          <t>Chuyển email vào Nhãn bằng nút [Di chuyển tới] (Move to)</t>
        </is>
      </c>
      <c r="C33" s="7" t="inlineStr">
        <is>
          <t>Các bước thực hiện:
1. Tích chọn 1 email ở Hộp thư đến
2. Nhấp biểu tượng [Di chuyển tới] (Move to) trên thanh công cụ
3. Chọn nhãn ["DuAn_CapNhat"]</t>
        </is>
      </c>
      <c r="D33" s="7" t="inlineStr">
        <is>
          <t>3. Email được gán nhãn "DuAn_CapNhat" và tự động lưu trữ, ẩn khỏi màn hình Hộp thư đến chính.</t>
        </is>
      </c>
      <c r="E33" s="7" t="inlineStr">
        <is>
          <t>ManageLabels-7</t>
        </is>
      </c>
      <c r="F33" s="7" t="inlineStr">
        <is>
          <t>Untested</t>
        </is>
      </c>
      <c r="G33" s="7" t="n"/>
      <c r="H33" s="7" t="n"/>
      <c r="I33" s="9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50">
      <c r="A34" s="7">
        <f>IF(OR(B34&lt;&gt;"",D34&lt;&gt;""),"["&amp;TEXT($B$2,"##")&amp;"-"&amp;TEXT(ROW()-8,"##")&amp;"]","")</f>
        <v/>
      </c>
      <c r="B34" s="7" t="inlineStr">
        <is>
          <t>Tìm kiếm email theo cú pháp toán tử nhãn (label:)</t>
        </is>
      </c>
      <c r="C34" s="7" t="inlineStr">
        <is>
          <t>Điều kiện tiên quyết:
+ Có email đã gắn nhãn ["DuAn_CapNhat"]
Các bước thực hiện:
1. Trên thanh tìm kiếm, gõ: ["label:DuAn_CapNhat"]
2. Nhấn [Enter]</t>
        </is>
      </c>
      <c r="D34" s="7" t="inlineStr">
        <is>
          <t>2. Danh sách hiển thị chính xác các email đang mang nhãn "DuAn_CapNhat".</t>
        </is>
      </c>
      <c r="E34" s="7" t="inlineStr">
        <is>
          <t>ManageLabels-7</t>
        </is>
      </c>
      <c r="F34" s="7" t="inlineStr">
        <is>
          <t>Untested</t>
        </is>
      </c>
      <c r="G34" s="7" t="n"/>
      <c r="H34" s="7" t="n"/>
      <c r="I34" s="9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50">
      <c r="A35" s="7">
        <f>IF(OR(B35&lt;&gt;"",D35&lt;&gt;""),"["&amp;TEXT($B$2,"##")&amp;"-"&amp;TEXT(ROW()-8,"##")&amp;"]","")</f>
        <v/>
      </c>
      <c r="B35" s="7" t="inlineStr">
        <is>
          <t>Xóa nhãn cha đang chứa nhãn con bên trong</t>
        </is>
      </c>
      <c r="C35" s="7" t="inlineStr">
        <is>
          <t>Điều kiện tiên quyết:
+ Nhãn ["DuAn_2026"] chứa nhãn con ["GiaiDoan_1"]
Các bước thực hiện:
1. Nhấp dấu 3 chấm cạnh nhãn cha ["DuAn_2026"] -&gt; [Xóa nhãn]
2. Nhấp [Xóa] trên popup cảnh báo</t>
        </is>
      </c>
      <c r="D35" s="7" t="inlineStr">
        <is>
          <t>2. Nhãn cha bị xóa; các nhãn con được đưa ra cấp gốc, và toàn bộ email không bị mất.</t>
        </is>
      </c>
      <c r="E35" s="7" t="inlineStr">
        <is>
          <t>ManageLabels-3</t>
        </is>
      </c>
      <c r="F35" s="7" t="inlineStr">
        <is>
          <t>Untested</t>
        </is>
      </c>
      <c r="G35" s="7" t="n"/>
      <c r="H35" s="7" t="n"/>
      <c r="I35" s="9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50">
      <c r="A36" s="7" t="n"/>
      <c r="B36" s="7" t="n"/>
      <c r="C36" s="7" t="n"/>
      <c r="D36" s="7" t="n"/>
      <c r="E36" s="7" t="n"/>
      <c r="F36" s="7" t="n"/>
      <c r="G36" s="7" t="n"/>
      <c r="H36" s="7" t="n"/>
      <c r="I36" s="9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50">
      <c r="A37" s="7" t="n"/>
      <c r="B37" s="7" t="n"/>
      <c r="C37" s="7" t="n"/>
      <c r="D37" s="7" t="n"/>
      <c r="E37" s="7" t="n"/>
      <c r="F37" s="7" t="n"/>
      <c r="G37" s="7" t="n"/>
      <c r="H37" s="7" t="n"/>
      <c r="I37" s="9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50">
      <c r="A38" s="7" t="n"/>
      <c r="B38" s="7" t="n"/>
      <c r="C38" s="7" t="n"/>
      <c r="D38" s="7" t="n"/>
      <c r="E38" s="7" t="n"/>
      <c r="F38" s="7" t="n"/>
      <c r="G38" s="7" t="n"/>
      <c r="H38" s="7" t="n"/>
      <c r="I38" s="9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50">
      <c r="A39" s="7" t="n"/>
      <c r="B39" s="7" t="n"/>
      <c r="C39" s="7" t="n"/>
      <c r="D39" s="7" t="n"/>
      <c r="E39" s="7" t="n"/>
      <c r="F39" s="7" t="n"/>
      <c r="G39" s="7" t="n"/>
      <c r="H39" s="7" t="n"/>
      <c r="I39" s="9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50">
      <c r="A40" s="7" t="n"/>
      <c r="B40" s="7" t="n"/>
      <c r="C40" s="7" t="n"/>
      <c r="D40" s="7" t="n"/>
      <c r="E40" s="7" t="n"/>
      <c r="F40" s="7" t="n"/>
      <c r="G40" s="7" t="n"/>
      <c r="H40" s="7" t="n"/>
      <c r="I40" s="9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50">
      <c r="A41" s="7" t="n"/>
      <c r="B41" s="7" t="n"/>
      <c r="C41" s="7" t="n"/>
      <c r="D41" s="7" t="n"/>
      <c r="E41" s="7" t="n"/>
      <c r="F41" s="7" t="n"/>
      <c r="G41" s="7" t="n"/>
      <c r="H41" s="7" t="n"/>
      <c r="I41" s="9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50">
      <c r="A42" s="7" t="n"/>
      <c r="B42" s="7" t="n"/>
      <c r="C42" s="7" t="n"/>
      <c r="D42" s="7" t="n"/>
      <c r="E42" s="7" t="n"/>
      <c r="F42" s="7" t="n"/>
      <c r="G42" s="7" t="n"/>
      <c r="H42" s="7" t="n"/>
      <c r="I42" s="9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50">
      <c r="A43" s="7" t="n"/>
      <c r="B43" s="7" t="n"/>
      <c r="C43" s="7" t="n"/>
      <c r="D43" s="7" t="n"/>
      <c r="E43" s="7" t="n"/>
      <c r="F43" s="7" t="n"/>
      <c r="G43" s="7" t="n"/>
      <c r="H43" s="7" t="n"/>
      <c r="I43" s="9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50">
      <c r="A44" s="7" t="n"/>
      <c r="B44" s="7" t="n"/>
      <c r="C44" s="7" t="n"/>
      <c r="D44" s="7" t="n"/>
      <c r="E44" s="7" t="n"/>
      <c r="F44" s="7" t="n"/>
      <c r="G44" s="7" t="n"/>
      <c r="H44" s="7" t="n"/>
      <c r="I44" s="9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50">
      <c r="A45" s="7" t="n"/>
      <c r="B45" s="7" t="n"/>
      <c r="C45" s="7" t="n"/>
      <c r="D45" s="7" t="n"/>
      <c r="E45" s="7" t="n"/>
      <c r="F45" s="7" t="n"/>
      <c r="G45" s="7" t="n"/>
      <c r="H45" s="7" t="n"/>
      <c r="I45" s="9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50">
      <c r="A46" s="7" t="n"/>
      <c r="B46" s="7" t="n"/>
      <c r="C46" s="7" t="n"/>
      <c r="D46" s="7" t="n"/>
      <c r="E46" s="7" t="n"/>
      <c r="F46" s="7" t="n"/>
      <c r="G46" s="7" t="n"/>
      <c r="H46" s="7" t="n"/>
      <c r="I46" s="9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50">
      <c r="A47" s="7" t="n"/>
      <c r="B47" s="7" t="n"/>
      <c r="C47" s="7" t="n"/>
      <c r="D47" s="7" t="n"/>
      <c r="E47" s="7" t="n"/>
      <c r="F47" s="7" t="n"/>
      <c r="G47" s="7" t="n"/>
      <c r="H47" s="7" t="n"/>
      <c r="I47" s="9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50">
      <c r="A48" s="7" t="n"/>
      <c r="B48" s="7" t="n"/>
      <c r="C48" s="7" t="n"/>
      <c r="D48" s="7" t="n"/>
      <c r="E48" s="7" t="n"/>
      <c r="F48" s="7" t="n"/>
      <c r="G48" s="7" t="n"/>
      <c r="H48" s="7" t="n"/>
      <c r="I48" s="9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50">
      <c r="A49" s="7" t="n"/>
      <c r="B49" s="7" t="n"/>
      <c r="C49" s="7" t="n"/>
      <c r="D49" s="7" t="n"/>
      <c r="E49" s="7" t="n"/>
      <c r="F49" s="7" t="n"/>
      <c r="G49" s="7" t="n"/>
      <c r="H49" s="7" t="n"/>
      <c r="I49" s="9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50">
      <c r="A50" s="7" t="n"/>
      <c r="B50" s="7" t="n"/>
      <c r="C50" s="7" t="n"/>
      <c r="D50" s="7" t="n"/>
      <c r="E50" s="7" t="n"/>
      <c r="F50" s="7" t="n"/>
      <c r="G50" s="7" t="n"/>
      <c r="H50" s="7" t="n"/>
      <c r="I50" s="9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50">
      <c r="A51" s="7" t="n"/>
      <c r="B51" s="7" t="n"/>
      <c r="C51" s="7" t="n"/>
      <c r="D51" s="7" t="n"/>
      <c r="E51" s="7" t="n"/>
      <c r="F51" s="7" t="n"/>
      <c r="G51" s="7" t="n"/>
      <c r="H51" s="7" t="n"/>
      <c r="I51" s="9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50">
      <c r="A52" s="7" t="n"/>
      <c r="B52" s="7" t="n"/>
      <c r="C52" s="7" t="n"/>
      <c r="D52" s="7" t="n"/>
      <c r="E52" s="7" t="n"/>
      <c r="F52" s="7" t="n"/>
      <c r="G52" s="7" t="n"/>
      <c r="H52" s="7" t="n"/>
      <c r="I52" s="9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50">
      <c r="A53" s="7" t="n"/>
      <c r="B53" s="7" t="n"/>
      <c r="C53" s="7" t="n"/>
      <c r="D53" s="7" t="n"/>
      <c r="E53" s="7" t="n"/>
      <c r="F53" s="7" t="n"/>
      <c r="G53" s="7" t="n"/>
      <c r="H53" s="7" t="n"/>
      <c r="I53" s="9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50">
      <c r="A54" s="7" t="n"/>
      <c r="B54" s="7" t="n"/>
      <c r="C54" s="7" t="n"/>
      <c r="D54" s="7" t="n"/>
      <c r="E54" s="7" t="n"/>
      <c r="F54" s="7" t="n"/>
      <c r="G54" s="7" t="n"/>
      <c r="H54" s="7" t="n"/>
      <c r="I54" s="9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50">
      <c r="A55" s="7" t="n"/>
      <c r="B55" s="7" t="n"/>
      <c r="C55" s="7" t="n"/>
      <c r="D55" s="7" t="n"/>
      <c r="E55" s="7" t="n"/>
      <c r="F55" s="7" t="n"/>
      <c r="G55" s="7" t="n"/>
      <c r="H55" s="7" t="n"/>
      <c r="I55" s="9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50">
      <c r="A56" s="7" t="n"/>
      <c r="B56" s="7" t="n"/>
      <c r="C56" s="7" t="n"/>
      <c r="D56" s="7" t="n"/>
      <c r="E56" s="7" t="n"/>
      <c r="F56" s="7" t="n"/>
      <c r="G56" s="7" t="n"/>
      <c r="H56" s="7" t="n"/>
      <c r="I56" s="9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50">
      <c r="A57" s="7" t="n"/>
      <c r="B57" s="7" t="n"/>
      <c r="C57" s="7" t="n"/>
      <c r="D57" s="7" t="n"/>
      <c r="E57" s="7" t="n"/>
      <c r="F57" s="7" t="n"/>
      <c r="G57" s="7" t="n"/>
      <c r="H57" s="7" t="n"/>
      <c r="I57" s="9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50">
      <c r="A58" s="7" t="n"/>
      <c r="B58" s="7" t="n"/>
      <c r="C58" s="7" t="n"/>
      <c r="D58" s="7" t="n"/>
      <c r="E58" s="7" t="n"/>
      <c r="F58" s="7" t="n"/>
      <c r="G58" s="7" t="n"/>
      <c r="H58" s="7" t="n"/>
      <c r="I58" s="9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50">
      <c r="A59" s="7" t="n"/>
      <c r="B59" s="7" t="n"/>
      <c r="C59" s="7" t="n"/>
      <c r="D59" s="7" t="n"/>
      <c r="E59" s="7" t="n"/>
      <c r="F59" s="7" t="n"/>
      <c r="G59" s="7" t="n"/>
      <c r="H59" s="7" t="n"/>
      <c r="I59" s="9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50">
      <c r="A60" s="7" t="n"/>
      <c r="B60" s="7" t="n"/>
      <c r="C60" s="7" t="n"/>
      <c r="D60" s="7" t="n"/>
      <c r="E60" s="7" t="n"/>
      <c r="F60" s="7" t="n"/>
      <c r="G60" s="7" t="n"/>
      <c r="H60" s="7" t="n"/>
      <c r="I60" s="9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50">
      <c r="A61" s="7" t="n"/>
      <c r="B61" s="7" t="n"/>
      <c r="C61" s="7" t="n"/>
      <c r="D61" s="7" t="n"/>
      <c r="E61" s="7" t="n"/>
      <c r="F61" s="7" t="n"/>
      <c r="G61" s="7" t="n"/>
      <c r="H61" s="7" t="n"/>
      <c r="I61" s="9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50">
      <c r="A62" s="7" t="n"/>
      <c r="B62" s="7" t="n"/>
      <c r="C62" s="7" t="n"/>
      <c r="D62" s="7" t="n"/>
      <c r="E62" s="7" t="n"/>
      <c r="F62" s="7" t="n"/>
      <c r="G62" s="7" t="n"/>
      <c r="H62" s="7" t="n"/>
      <c r="I62" s="9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50">
      <c r="A63" s="7" t="n"/>
      <c r="B63" s="7" t="n"/>
      <c r="C63" s="7" t="n"/>
      <c r="D63" s="7" t="n"/>
      <c r="E63" s="7" t="n"/>
      <c r="F63" s="7" t="n"/>
      <c r="G63" s="7" t="n"/>
      <c r="H63" s="7" t="n"/>
      <c r="I63" s="9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50">
      <c r="A64" s="7" t="n"/>
      <c r="B64" s="7" t="n"/>
      <c r="C64" s="7" t="n"/>
      <c r="D64" s="7" t="n"/>
      <c r="E64" s="7" t="n"/>
      <c r="F64" s="7" t="n"/>
      <c r="G64" s="7" t="n"/>
      <c r="H64" s="7" t="n"/>
      <c r="I64" s="9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50">
      <c r="A65" s="7" t="n"/>
      <c r="B65" s="7" t="n"/>
      <c r="C65" s="7" t="n"/>
      <c r="D65" s="7" t="n"/>
      <c r="E65" s="7" t="n"/>
      <c r="F65" s="7" t="n"/>
      <c r="G65" s="7" t="n"/>
      <c r="H65" s="7" t="n"/>
      <c r="I65" s="9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50">
      <c r="A66" s="7" t="n"/>
      <c r="B66" s="7" t="n"/>
      <c r="C66" s="7" t="n"/>
      <c r="D66" s="7" t="n"/>
      <c r="E66" s="7" t="n"/>
      <c r="F66" s="7" t="n"/>
      <c r="G66" s="7" t="n"/>
      <c r="H66" s="7" t="n"/>
      <c r="I66" s="9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50">
      <c r="A67" s="7" t="n"/>
      <c r="B67" s="7" t="n"/>
      <c r="C67" s="7" t="n"/>
      <c r="D67" s="7" t="n"/>
      <c r="E67" s="7" t="n"/>
      <c r="F67" s="7" t="n"/>
      <c r="G67" s="7" t="n"/>
      <c r="H67" s="7" t="n"/>
      <c r="I67" s="9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50">
      <c r="A68" s="7" t="n"/>
      <c r="B68" s="7" t="n"/>
      <c r="C68" s="7" t="n"/>
      <c r="D68" s="7" t="n"/>
      <c r="E68" s="7" t="n"/>
      <c r="F68" s="7" t="n"/>
      <c r="G68" s="7" t="n"/>
      <c r="H68" s="7" t="n"/>
      <c r="I68" s="9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50">
      <c r="A69" s="7" t="n"/>
      <c r="B69" s="7" t="n"/>
      <c r="C69" s="7" t="n"/>
      <c r="D69" s="7" t="n"/>
      <c r="E69" s="7" t="n"/>
      <c r="F69" s="7" t="n"/>
      <c r="G69" s="7" t="n"/>
      <c r="H69" s="7" t="n"/>
      <c r="I69" s="9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50">
      <c r="A70" s="7" t="n"/>
      <c r="B70" s="7" t="n"/>
      <c r="C70" s="7" t="n"/>
      <c r="D70" s="7" t="n"/>
      <c r="E70" s="7" t="n"/>
      <c r="F70" s="7" t="n"/>
      <c r="G70" s="7" t="n"/>
      <c r="H70" s="7" t="n"/>
      <c r="I70" s="9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50">
      <c r="A71" s="7" t="n"/>
      <c r="B71" s="7" t="n"/>
      <c r="C71" s="7" t="n"/>
      <c r="D71" s="7" t="n"/>
      <c r="E71" s="7" t="n"/>
      <c r="F71" s="7" t="n"/>
      <c r="G71" s="7" t="n"/>
      <c r="H71" s="7" t="n"/>
      <c r="I71" s="9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50">
      <c r="A72" s="7" t="n"/>
      <c r="B72" s="7" t="n"/>
      <c r="C72" s="7" t="n"/>
      <c r="D72" s="7" t="n"/>
      <c r="E72" s="7" t="n"/>
      <c r="F72" s="7" t="n"/>
      <c r="G72" s="7" t="n"/>
      <c r="H72" s="7" t="n"/>
      <c r="I72" s="9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50">
      <c r="A73" s="7" t="n"/>
      <c r="B73" s="7" t="n"/>
      <c r="C73" s="7" t="n"/>
      <c r="D73" s="7" t="n"/>
      <c r="E73" s="7" t="n"/>
      <c r="F73" s="7" t="n"/>
      <c r="G73" s="7" t="n"/>
      <c r="H73" s="7" t="n"/>
      <c r="I73" s="9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50">
      <c r="A74" s="7" t="n"/>
      <c r="B74" s="7" t="n"/>
      <c r="C74" s="7" t="n"/>
      <c r="D74" s="7" t="n"/>
      <c r="E74" s="7" t="n"/>
      <c r="F74" s="7" t="n"/>
      <c r="G74" s="7" t="n"/>
      <c r="H74" s="7" t="n"/>
      <c r="I74" s="9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50">
      <c r="A75" s="7" t="n"/>
      <c r="B75" s="7" t="n"/>
      <c r="C75" s="7" t="n"/>
      <c r="D75" s="7" t="n"/>
      <c r="E75" s="7" t="n"/>
      <c r="F75" s="7" t="n"/>
      <c r="G75" s="7" t="n"/>
      <c r="H75" s="7" t="n"/>
      <c r="I75" s="9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50">
      <c r="A76" s="7" t="n"/>
      <c r="B76" s="7" t="n"/>
      <c r="C76" s="7" t="n"/>
      <c r="D76" s="7" t="n"/>
      <c r="E76" s="7" t="n"/>
      <c r="F76" s="7" t="n"/>
      <c r="G76" s="7" t="n"/>
      <c r="H76" s="7" t="n"/>
      <c r="I76" s="9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50">
      <c r="A77" s="7" t="n"/>
      <c r="B77" s="7" t="n"/>
      <c r="C77" s="7" t="n"/>
      <c r="D77" s="7" t="n"/>
      <c r="E77" s="7" t="n"/>
      <c r="F77" s="7" t="n"/>
      <c r="G77" s="7" t="n"/>
      <c r="H77" s="7" t="n"/>
      <c r="I77" s="9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50">
      <c r="A78" s="7" t="n"/>
      <c r="B78" s="7" t="n"/>
      <c r="C78" s="7" t="n"/>
      <c r="D78" s="7" t="n"/>
      <c r="E78" s="7" t="n"/>
      <c r="F78" s="7" t="n"/>
      <c r="G78" s="7" t="n"/>
      <c r="H78" s="7" t="n"/>
      <c r="I78" s="9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50">
      <c r="A79" s="7" t="n"/>
      <c r="B79" s="7" t="n"/>
      <c r="C79" s="7" t="n"/>
      <c r="D79" s="7" t="n"/>
      <c r="E79" s="7" t="n"/>
      <c r="F79" s="7" t="n"/>
      <c r="G79" s="7" t="n"/>
      <c r="H79" s="7" t="n"/>
      <c r="I79" s="9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50">
      <c r="A80" s="7" t="n"/>
      <c r="B80" s="7" t="n"/>
      <c r="C80" s="7" t="n"/>
      <c r="D80" s="7" t="n"/>
      <c r="E80" s="7" t="n"/>
      <c r="F80" s="7" t="n"/>
      <c r="G80" s="7" t="n"/>
      <c r="H80" s="7" t="n"/>
      <c r="I80" s="9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50">
      <c r="A81" s="7" t="n"/>
      <c r="B81" s="7" t="n"/>
      <c r="C81" s="7" t="n"/>
      <c r="D81" s="7" t="n"/>
      <c r="E81" s="7" t="n"/>
      <c r="F81" s="7" t="n"/>
      <c r="G81" s="7" t="n"/>
      <c r="H81" s="7" t="n"/>
      <c r="I81" s="9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50">
      <c r="A82" s="7" t="n"/>
      <c r="B82" s="7" t="n"/>
      <c r="C82" s="7" t="n"/>
      <c r="D82" s="7" t="n"/>
      <c r="E82" s="7" t="n"/>
      <c r="F82" s="7" t="n"/>
      <c r="G82" s="7" t="n"/>
      <c r="H82" s="7" t="n"/>
      <c r="I82" s="9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50">
      <c r="A83" s="7" t="n"/>
      <c r="B83" s="7" t="n"/>
      <c r="C83" s="7" t="n"/>
      <c r="D83" s="7" t="n"/>
      <c r="E83" s="7" t="n"/>
      <c r="F83" s="7" t="n"/>
      <c r="G83" s="7" t="n"/>
      <c r="H83" s="7" t="n"/>
      <c r="I83" s="9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50">
      <c r="A84" s="7" t="n"/>
      <c r="B84" s="7" t="n"/>
      <c r="C84" s="7" t="n"/>
      <c r="D84" s="7" t="n"/>
      <c r="E84" s="7" t="n"/>
      <c r="F84" s="7" t="n"/>
      <c r="G84" s="7" t="n"/>
      <c r="H84" s="7" t="n"/>
      <c r="I84" s="9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50">
      <c r="A85" s="7" t="n"/>
      <c r="B85" s="7" t="n"/>
      <c r="C85" s="7" t="n"/>
      <c r="D85" s="7" t="n"/>
      <c r="E85" s="7" t="n"/>
      <c r="F85" s="7" t="n"/>
      <c r="G85" s="7" t="n"/>
      <c r="H85" s="7" t="n"/>
      <c r="I85" s="9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50">
      <c r="A86" s="7" t="n"/>
      <c r="B86" s="7" t="n"/>
      <c r="C86" s="7" t="n"/>
      <c r="D86" s="7" t="n"/>
      <c r="E86" s="7" t="n"/>
      <c r="F86" s="7" t="n"/>
      <c r="G86" s="7" t="n"/>
      <c r="H86" s="7" t="n"/>
      <c r="I86" s="9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50">
      <c r="A87" s="7" t="n"/>
      <c r="B87" s="7" t="n"/>
      <c r="C87" s="7" t="n"/>
      <c r="D87" s="7" t="n"/>
      <c r="E87" s="7" t="n"/>
      <c r="F87" s="7" t="n"/>
      <c r="G87" s="7" t="n"/>
      <c r="H87" s="7" t="n"/>
      <c r="I87" s="9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50">
      <c r="A88" s="7" t="n"/>
      <c r="B88" s="7" t="n"/>
      <c r="C88" s="7" t="n"/>
      <c r="D88" s="7" t="n"/>
      <c r="E88" s="7" t="n"/>
      <c r="F88" s="7" t="n"/>
      <c r="G88" s="7" t="n"/>
      <c r="H88" s="7" t="n"/>
      <c r="I88" s="9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50">
      <c r="A89" s="7" t="n"/>
      <c r="B89" s="7" t="n"/>
      <c r="C89" s="7" t="n"/>
      <c r="D89" s="7" t="n"/>
      <c r="E89" s="7" t="n"/>
      <c r="F89" s="7" t="n"/>
      <c r="G89" s="7" t="n"/>
      <c r="H89" s="7" t="n"/>
      <c r="I89" s="9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50">
      <c r="A90" s="7" t="n"/>
      <c r="B90" s="7" t="n"/>
      <c r="C90" s="7" t="n"/>
      <c r="D90" s="7" t="n"/>
      <c r="E90" s="7" t="n"/>
      <c r="F90" s="7" t="n"/>
      <c r="G90" s="7" t="n"/>
      <c r="H90" s="7" t="n"/>
      <c r="I90" s="9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50">
      <c r="A91" s="7" t="n"/>
      <c r="B91" s="7" t="n"/>
      <c r="C91" s="7" t="n"/>
      <c r="D91" s="7" t="n"/>
      <c r="E91" s="7" t="n"/>
      <c r="F91" s="7" t="n"/>
      <c r="G91" s="7" t="n"/>
      <c r="H91" s="7" t="n"/>
      <c r="I91" s="9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50">
      <c r="A92" s="7" t="n"/>
      <c r="B92" s="7" t="n"/>
      <c r="C92" s="7" t="n"/>
      <c r="D92" s="7" t="n"/>
      <c r="E92" s="7" t="n"/>
      <c r="F92" s="7" t="n"/>
      <c r="G92" s="7" t="n"/>
      <c r="H92" s="7" t="n"/>
      <c r="I92" s="9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50">
      <c r="A93" s="7" t="n"/>
      <c r="B93" s="7" t="n"/>
      <c r="C93" s="7" t="n"/>
      <c r="D93" s="7" t="n"/>
      <c r="E93" s="7" t="n"/>
      <c r="F93" s="7" t="n"/>
      <c r="G93" s="7" t="n"/>
      <c r="H93" s="7" t="n"/>
      <c r="I93" s="9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50">
      <c r="A94" s="7" t="n"/>
      <c r="B94" s="7" t="n"/>
      <c r="C94" s="7" t="n"/>
      <c r="D94" s="7" t="n"/>
      <c r="E94" s="7" t="n"/>
      <c r="F94" s="7" t="n"/>
      <c r="G94" s="7" t="n"/>
      <c r="H94" s="7" t="n"/>
      <c r="I94" s="9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50">
      <c r="A95" s="7" t="n"/>
      <c r="B95" s="7" t="n"/>
      <c r="C95" s="7" t="n"/>
      <c r="D95" s="7" t="n"/>
      <c r="E95" s="7" t="n"/>
      <c r="F95" s="7" t="n"/>
      <c r="G95" s="7" t="n"/>
      <c r="H95" s="7" t="n"/>
      <c r="I95" s="9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50">
      <c r="A96" s="7" t="n"/>
      <c r="B96" s="7" t="n"/>
      <c r="C96" s="7" t="n"/>
      <c r="D96" s="7" t="n"/>
      <c r="E96" s="7" t="n"/>
      <c r="F96" s="7" t="n"/>
      <c r="G96" s="7" t="n"/>
      <c r="H96" s="7" t="n"/>
      <c r="I96" s="9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50">
      <c r="A97" s="7" t="n"/>
      <c r="B97" s="7" t="n"/>
      <c r="C97" s="7" t="n"/>
      <c r="D97" s="7" t="n"/>
      <c r="E97" s="7" t="n"/>
      <c r="F97" s="7" t="n"/>
      <c r="G97" s="7" t="n"/>
      <c r="H97" s="7" t="n"/>
      <c r="I97" s="9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50">
      <c r="A98" s="7" t="n"/>
      <c r="B98" s="7" t="n"/>
      <c r="C98" s="7" t="n"/>
      <c r="D98" s="7" t="n"/>
      <c r="E98" s="7" t="n"/>
      <c r="F98" s="7" t="n"/>
      <c r="G98" s="7" t="n"/>
      <c r="H98" s="7" t="n"/>
      <c r="I98" s="9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50">
      <c r="A99" s="7" t="n"/>
      <c r="B99" s="7" t="n"/>
      <c r="C99" s="7" t="n"/>
      <c r="D99" s="7" t="n"/>
      <c r="E99" s="7" t="n"/>
      <c r="F99" s="7" t="n"/>
      <c r="G99" s="7" t="n"/>
      <c r="H99" s="7" t="n"/>
      <c r="I99" s="9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5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9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50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9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5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9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50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9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5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9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50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9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5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9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50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9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5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9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50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9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5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9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50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9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5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9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50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9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5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9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50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9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5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9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50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9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5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9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50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9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5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9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50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9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5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9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50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9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5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9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50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9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5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9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50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9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5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9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50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9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5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9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50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9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5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9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50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9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5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9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50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9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5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9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50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9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5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9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50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9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5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9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50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9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5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9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50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9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5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9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50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9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5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9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50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9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5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9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50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9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9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50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9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5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9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50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9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5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9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50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9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5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9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50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9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5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9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50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9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5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9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50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9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5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9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50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9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5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9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50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9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5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9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50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9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5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9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50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9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5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9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50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9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5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9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50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9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5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9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50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9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5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9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50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9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5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9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50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9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5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9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50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9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5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9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50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9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5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9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50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9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5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9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50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9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5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9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50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9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5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9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50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9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5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9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50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9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5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9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50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9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5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9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50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9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5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9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50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9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5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9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50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9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5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9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50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9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50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9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50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9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50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9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50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9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50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9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50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9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5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9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50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9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50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9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50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9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50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9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50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9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50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9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50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9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50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9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50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9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5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9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50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9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50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9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50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9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50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9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50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9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50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9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50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9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50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9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50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9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5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9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50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9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50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9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50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9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50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9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50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9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50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9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50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9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50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9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50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9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5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9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50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9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50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9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50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9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50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9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50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9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50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9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50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9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50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9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50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9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9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50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9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50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9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50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9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50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9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50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9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50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9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50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9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50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9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50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9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5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9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50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9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50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9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50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9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50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9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50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9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50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9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50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9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50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9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50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9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5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9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50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9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50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9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50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9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50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9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50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9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50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9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50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9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50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9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50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9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5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9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50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9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50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9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50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9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50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9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50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9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50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9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50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9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50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9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50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9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5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9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50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9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50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9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50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9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50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9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50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9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50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9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50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9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50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9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50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9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5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9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50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9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50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9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50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9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50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9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50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9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50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9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50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9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50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9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50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9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5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9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50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9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50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9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50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9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50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9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50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9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50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9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50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9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50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9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50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9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5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9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50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9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50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9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50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9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50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9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50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9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50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9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50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9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50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9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50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9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5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9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50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9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50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9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50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9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50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9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50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9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50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9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50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9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50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9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50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9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5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9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50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9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50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9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50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9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50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9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50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9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50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9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50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9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50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9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50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9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9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50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9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50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9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50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9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50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9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50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9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50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9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50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9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50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9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50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9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5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9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50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9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50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9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50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9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50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9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50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9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50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9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50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9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50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9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50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9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5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9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50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9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50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9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50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9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50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9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50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9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50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9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50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9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50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9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50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9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5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9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50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9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50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9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50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9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50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9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50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9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50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9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50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9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50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9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50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9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5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9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50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9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50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9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50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9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50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9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50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9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50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9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50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9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50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9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50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9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5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9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50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9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50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9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50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9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50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9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50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9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50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9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50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9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50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9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50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9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5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9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50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9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50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9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50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9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50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9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50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9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50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9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50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9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50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9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50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9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5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9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50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9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50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9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50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9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50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9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50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9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50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9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50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9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50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9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50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9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5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9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50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9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50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9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50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9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50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9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50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9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50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9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50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9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50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9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50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9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5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9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50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9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50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9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50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9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50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9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50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9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50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9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50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9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50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9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50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9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9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50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9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50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9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50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9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50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9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50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9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50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9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50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9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50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9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50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9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5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9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50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9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50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9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50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9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50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9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50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9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50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9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50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9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50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9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50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9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5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9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50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9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50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9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50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9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50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9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50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9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50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9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50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9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50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9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50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9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5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9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50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9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50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9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50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9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50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9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50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9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50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9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50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9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50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9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50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9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5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9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50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9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50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9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50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9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50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9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50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9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50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9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50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9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50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9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50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9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5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9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50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9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50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9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50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9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50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9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50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9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50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9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50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9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50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9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50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9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5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9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50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9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50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9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50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9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50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9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50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9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50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9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50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9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50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9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50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9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5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9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50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9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50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9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50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9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50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9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50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9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50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9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50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9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50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9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50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9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5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9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50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9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50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9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50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9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50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9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50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9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50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9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50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9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50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9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50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9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5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9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50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9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50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9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50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9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50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9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50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9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50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9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50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9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50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9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50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9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9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50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9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50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9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50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9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50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9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50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9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50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9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50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9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50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9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50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9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5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9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50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9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50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9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50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9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50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9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50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9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50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9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50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9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50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9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50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9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5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9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50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9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50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9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50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9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50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9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50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9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50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9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50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9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50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9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50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9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5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9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50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9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50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9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50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9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50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9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50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9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50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9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50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9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50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9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50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9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5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9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50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9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50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9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50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9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50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9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50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9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50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9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50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9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50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9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50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9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5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9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50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9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50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9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50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9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50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9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50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9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50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9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50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9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50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9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50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9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5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9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50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9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50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9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50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9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50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9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50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9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50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9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50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9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50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9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50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9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5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9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50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9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50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9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50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9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50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9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50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9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50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9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50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9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50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9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50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9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5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9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50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9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50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9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50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9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50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9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50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9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50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9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50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9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50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9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50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9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5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9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50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9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50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9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50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9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50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9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50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9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50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9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50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9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50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9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50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9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9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50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9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50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9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50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9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50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9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50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9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50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9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50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9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50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9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50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9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5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9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50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9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50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9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50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9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50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9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50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9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50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9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50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9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50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9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50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9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5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9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50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9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50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9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50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9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50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9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50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9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50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9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50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9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50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9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50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9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5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9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50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9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50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9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50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9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50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9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50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9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50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9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50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9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50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9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50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9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5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9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50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9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50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9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50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9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50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9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50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9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50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9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50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9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50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9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50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9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5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9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50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9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50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9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50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9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50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9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50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9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50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9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50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9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50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9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50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9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5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9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50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9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50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9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50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9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50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9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50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9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50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9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50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9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50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9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50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9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5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9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50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9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50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9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50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9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50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9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50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9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50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9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50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9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50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9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50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9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5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9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50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9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50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9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50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9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50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9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50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9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50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9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50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9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50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9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50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9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5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9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50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9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50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9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50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9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50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9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50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9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50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9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50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9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50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9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50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9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9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50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9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50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9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50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9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50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9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50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9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50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9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50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9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50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9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50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9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5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9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50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9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50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9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50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9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50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9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50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9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50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9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50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9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50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9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50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9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5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9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50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9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50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9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50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9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50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9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50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9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50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9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50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9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50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9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50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9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5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9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50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9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50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9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50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9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50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9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50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9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50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9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50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9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50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9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50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9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5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9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50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9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50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9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50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9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50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9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50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9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50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9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50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9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50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9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50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9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5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9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50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9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50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9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50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9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50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9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50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9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50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9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50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9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50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9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50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9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5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9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50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9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50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9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50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9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50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9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50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9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50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9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50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9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50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9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50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9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5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9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50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9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50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9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50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9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50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9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50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9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50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9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50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9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50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9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50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9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5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9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50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9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50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9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50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9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50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9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50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9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50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9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50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9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50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9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50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9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5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9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50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9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50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9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50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9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50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9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50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9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50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9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50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9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50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9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50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9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9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50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9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50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9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50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9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50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9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50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9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50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9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50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9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50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9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50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9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5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9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50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9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50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9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50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9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50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9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50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9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50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9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50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9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50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9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50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9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5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9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50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9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50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9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50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9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50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9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50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9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50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9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50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9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50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9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50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9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5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9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50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9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50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9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50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9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50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9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50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9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50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9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50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9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50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9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50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9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5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9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50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9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50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9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50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9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50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9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50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9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50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9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50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9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50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9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50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9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5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9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50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9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50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9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50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9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50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9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50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9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50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9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50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9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50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9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50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9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5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9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50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9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50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9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50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9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50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9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50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9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50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9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50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9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50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9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50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9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5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9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50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9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50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9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50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9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50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9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50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9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50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9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50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9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50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9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50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9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5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9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50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9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50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9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50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9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50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9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50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9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50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9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50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9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50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9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50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9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5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9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50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9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50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9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50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9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50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9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50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9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50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9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50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9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50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9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50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9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9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50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9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50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9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50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9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50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9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50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9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50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9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50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9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50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9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50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9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5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9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50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9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50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9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50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9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50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9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50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9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50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9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50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9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50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9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50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9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5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9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50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9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50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9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50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9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50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9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50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9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50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9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50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9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50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9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50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9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5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9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50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9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50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9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50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9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50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9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50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9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50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9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50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9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50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9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50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9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5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9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50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9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50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9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50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9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50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9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50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9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50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9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50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9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50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9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50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9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5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9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5">
    <mergeCell ref="F6:H6"/>
    <mergeCell ref="F5:H5"/>
    <mergeCell ref="B4:H4"/>
    <mergeCell ref="B2:H2"/>
    <mergeCell ref="B3:H3"/>
  </mergeCells>
  <pageMargins left="0.7" right="0.7" top="0.75" bottom="0.75" header="0.511811023622047" footer="0.511811023622047"/>
  <pageSetup orientation="landscape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Normal="100" workbookViewId="0">
      <selection activeCell="A1" sqref="A1"/>
    </sheetView>
  </sheetViews>
  <sheetFormatPr baseColWidth="8" defaultColWidth="14.453125" defaultRowHeight="14.5"/>
  <cols>
    <col width="10.26953125" customWidth="1" style="150" min="1" max="1"/>
    <col width="15.453125" customWidth="1" style="150" min="2" max="2"/>
    <col width="22.1796875" customWidth="1" style="150" min="3" max="3"/>
    <col width="10.26953125" customWidth="1" style="150" min="4" max="6"/>
    <col width="13.81640625" customWidth="1" style="150" min="7" max="7"/>
    <col width="11.7265625" customWidth="1" style="150" min="8" max="8"/>
    <col width="30.1796875" customWidth="1" style="150" min="9" max="9"/>
    <col width="9.1796875" customWidth="1" style="150" min="10" max="26"/>
  </cols>
  <sheetData>
    <row r="1" ht="25.5" customHeight="1" s="150">
      <c r="A1" s="7" t="n"/>
      <c r="B1" s="149" t="inlineStr">
        <is>
          <t>TEST REPORT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25" customHeight="1" s="150">
      <c r="A2" s="98" t="n"/>
      <c r="B2" s="98" t="n"/>
      <c r="C2" s="7" t="n"/>
      <c r="D2" s="7" t="n"/>
      <c r="E2" s="7" t="n"/>
      <c r="F2" s="7" t="n"/>
      <c r="G2" s="7" t="n"/>
      <c r="H2" s="99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" customHeight="1" s="150">
      <c r="A3" s="7" t="n"/>
      <c r="B3" s="139" t="inlineStr">
        <is>
          <t>Project Name</t>
        </is>
      </c>
      <c r="C3" s="144">
        <f>Cover!C4</f>
        <v/>
      </c>
      <c r="D3" s="131" t="n"/>
      <c r="E3" s="148" t="inlineStr">
        <is>
          <t>Creator</t>
        </is>
      </c>
      <c r="F3" s="131" t="n"/>
      <c r="G3" s="100" t="inlineStr">
        <is>
          <t>Trương Trọng Nhân - 23130217</t>
        </is>
      </c>
      <c r="H3" s="101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2" customHeight="1" s="150">
      <c r="A4" s="7" t="n"/>
      <c r="B4" s="139" t="inlineStr">
        <is>
          <t>Project Code</t>
        </is>
      </c>
      <c r="C4" s="144">
        <f>Cover!C5</f>
        <v/>
      </c>
      <c r="D4" s="131" t="n"/>
      <c r="E4" s="148" t="inlineStr">
        <is>
          <t>Reviewer/Approver</t>
        </is>
      </c>
      <c r="F4" s="131" t="n"/>
      <c r="G4" s="100" t="n"/>
      <c r="H4" s="101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2" customHeight="1" s="150">
      <c r="A5" s="7" t="n"/>
      <c r="B5" s="102" t="inlineStr">
        <is>
          <t>Document Code</t>
        </is>
      </c>
      <c r="C5" s="144">
        <f>C4&amp;"_"&amp;"Test Report"&amp;"_"&amp;"v1.0"</f>
        <v/>
      </c>
      <c r="D5" s="131" t="n"/>
      <c r="E5" s="148" t="inlineStr">
        <is>
          <t>Issue Date</t>
        </is>
      </c>
      <c r="F5" s="131" t="n"/>
      <c r="G5" s="103" t="n"/>
      <c r="H5" s="104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1.75" customHeight="1" s="150">
      <c r="A6" s="98" t="n"/>
      <c r="B6" s="102" t="inlineStr">
        <is>
          <t>Notes</t>
        </is>
      </c>
      <c r="C6" s="141" t="inlineStr">
        <is>
          <t>Báo cáo kiểm thử 3 chức năng của Thành viên 3: Search Mail (30 TC), Reply - Reply All - Forward (23 TC), Manage Labels (27 TC). Tổng cộng: 80 Test Cases.</t>
        </is>
      </c>
      <c r="D6" s="130" t="n"/>
      <c r="E6" s="130" t="n"/>
      <c r="F6" s="130" t="n"/>
      <c r="G6" s="130" t="n"/>
      <c r="H6" s="131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4.25" customHeight="1" s="150">
      <c r="A7" s="98" t="n"/>
      <c r="B7" s="10" t="n"/>
      <c r="C7" s="105" t="n"/>
      <c r="D7" s="7" t="n"/>
      <c r="E7" s="7" t="n"/>
      <c r="F7" s="7" t="n"/>
      <c r="G7" s="7" t="n"/>
      <c r="H7" s="99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2.75" customHeight="1" s="150">
      <c r="A8" s="7" t="n"/>
      <c r="B8" s="10" t="n"/>
      <c r="C8" s="105" t="n"/>
      <c r="D8" s="7" t="n"/>
      <c r="E8" s="7" t="n"/>
      <c r="F8" s="7" t="n"/>
      <c r="G8" s="7" t="n"/>
      <c r="H8" s="99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2.75" customHeight="1" s="150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2.75" customHeight="1" s="150">
      <c r="A10" s="106" t="n"/>
      <c r="B10" s="107" t="inlineStr">
        <is>
          <t>No</t>
        </is>
      </c>
      <c r="C10" s="108" t="inlineStr">
        <is>
          <t>Module code</t>
        </is>
      </c>
      <c r="D10" s="109" t="inlineStr">
        <is>
          <t>Pass</t>
        </is>
      </c>
      <c r="E10" s="108" t="inlineStr">
        <is>
          <t>Fail</t>
        </is>
      </c>
      <c r="F10" s="108" t="inlineStr">
        <is>
          <t>Untested</t>
        </is>
      </c>
      <c r="G10" s="110" t="inlineStr">
        <is>
          <t>Blocked</t>
        </is>
      </c>
      <c r="H10" s="111" t="inlineStr">
        <is>
          <t>Skipped</t>
        </is>
      </c>
      <c r="I10" s="111" t="inlineStr">
        <is>
          <t>Number of  test cases</t>
        </is>
      </c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2.75" customHeight="1" s="150">
      <c r="A11" s="106" t="n"/>
      <c r="B11" s="112" t="n">
        <v>1</v>
      </c>
      <c r="C11" s="113">
        <f>'Search Mail'!B2</f>
        <v/>
      </c>
      <c r="D11" s="114">
        <f>'Search Mail'!A6</f>
        <v/>
      </c>
      <c r="E11" s="114">
        <f>'Search Mail'!B6</f>
        <v/>
      </c>
      <c r="F11" s="114">
        <f>'Search Mail'!C6</f>
        <v/>
      </c>
      <c r="G11" s="115">
        <f>'Search Mail'!D6</f>
        <v/>
      </c>
      <c r="H11" s="115">
        <f>'Search Mail'!E6</f>
        <v/>
      </c>
      <c r="I11" s="116">
        <f>'Search Mail'!F6</f>
        <v/>
      </c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2.75" customHeight="1" s="150">
      <c r="A12" s="106" t="n"/>
      <c r="B12" s="112" t="n">
        <v>2</v>
      </c>
      <c r="C12" s="113">
        <f>Reply!B2</f>
        <v/>
      </c>
      <c r="D12" s="114">
        <f>Reply!A6</f>
        <v/>
      </c>
      <c r="E12" s="114">
        <f>Reply!B6</f>
        <v/>
      </c>
      <c r="F12" s="114">
        <f>Reply!C6</f>
        <v/>
      </c>
      <c r="G12" s="115">
        <f>Reply!D6</f>
        <v/>
      </c>
      <c r="H12" s="115">
        <f>Reply!E6</f>
        <v/>
      </c>
      <c r="I12" s="116">
        <f>Reply!F6</f>
        <v/>
      </c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2.75" customHeight="1" s="150">
      <c r="A13" s="106" t="n"/>
      <c r="B13" s="112" t="n">
        <v>3</v>
      </c>
      <c r="C13" s="113">
        <f>'Reply All'!B2</f>
        <v/>
      </c>
      <c r="D13" s="114">
        <f>'Reply All'!A6</f>
        <v/>
      </c>
      <c r="E13" s="114">
        <f>'Reply All'!B6</f>
        <v/>
      </c>
      <c r="F13" s="114">
        <f>'Reply All'!C6</f>
        <v/>
      </c>
      <c r="G13" s="114">
        <f>'Reply All'!D6</f>
        <v/>
      </c>
      <c r="H13" s="114">
        <f>'Reply All'!E6</f>
        <v/>
      </c>
      <c r="I13" s="116">
        <f>'Reply All'!F6</f>
        <v/>
      </c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 s="150">
      <c r="A14" s="106" t="n"/>
      <c r="B14" s="112" t="n">
        <v>4</v>
      </c>
      <c r="C14" s="113">
        <f>Forward!B2</f>
        <v/>
      </c>
      <c r="D14" s="114">
        <f>Forward!A6</f>
        <v/>
      </c>
      <c r="E14" s="114">
        <f>Forward!B6</f>
        <v/>
      </c>
      <c r="F14" s="114">
        <f>Forward!C6</f>
        <v/>
      </c>
      <c r="G14" s="115">
        <f>Forward!D6</f>
        <v/>
      </c>
      <c r="H14" s="115">
        <f>Forward!E6</f>
        <v/>
      </c>
      <c r="I14" s="116">
        <f>Forward!F6</f>
        <v/>
      </c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.75" customHeight="1" s="150">
      <c r="A15" s="106" t="n"/>
      <c r="B15" s="117" t="n">
        <v>5</v>
      </c>
      <c r="C15" s="118">
        <f>'Manage Labels'!B2</f>
        <v/>
      </c>
      <c r="D15" s="119">
        <f>'Manage Labels'!A6</f>
        <v/>
      </c>
      <c r="E15" s="119">
        <f>'Manage Labels'!B6</f>
        <v/>
      </c>
      <c r="F15" s="119">
        <f>'Manage Labels'!C6</f>
        <v/>
      </c>
      <c r="G15" s="119">
        <f>'Manage Labels'!D6</f>
        <v/>
      </c>
      <c r="H15" s="120">
        <f>'Manage Labels'!E6</f>
        <v/>
      </c>
      <c r="I15" s="120">
        <f>'Manage Labels'!F6</f>
        <v/>
      </c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 s="150">
      <c r="A16" s="7" t="n"/>
      <c r="B16" s="121" t="n"/>
      <c r="C16" s="7" t="n"/>
      <c r="D16" s="122" t="n"/>
      <c r="E16" s="123" t="n"/>
      <c r="F16" s="123" t="n"/>
      <c r="G16" s="123" t="n"/>
      <c r="H16" s="123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 s="150">
      <c r="A17" s="7" t="n"/>
      <c r="B17" s="7" t="n"/>
      <c r="C17" s="5" t="inlineStr">
        <is>
          <t>Sub total</t>
        </is>
      </c>
      <c r="D17" s="7">
        <f>SUM(D11:D15)</f>
        <v/>
      </c>
      <c r="E17" s="124">
        <f>SUM(E11:E15)</f>
        <v/>
      </c>
      <c r="F17" s="7">
        <f>SUM(F11:F15)</f>
        <v/>
      </c>
      <c r="G17" s="7">
        <f>SUM(G11:G15)</f>
        <v/>
      </c>
      <c r="H17" s="85">
        <f>SUM(H11:H15)</f>
        <v/>
      </c>
      <c r="I17" s="7">
        <f>SUM(I11:I15)</f>
        <v/>
      </c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50">
      <c r="A18" s="7" t="n"/>
      <c r="B18" s="7" t="n"/>
      <c r="C18" s="5" t="n"/>
      <c r="D18" s="7" t="n"/>
      <c r="E18" s="124" t="n"/>
      <c r="F18" s="7" t="n"/>
      <c r="G18" s="7" t="n"/>
      <c r="H18" s="85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150">
      <c r="A19" s="7" t="n"/>
      <c r="B19" s="7" t="n"/>
      <c r="C19" s="7" t="inlineStr">
        <is>
          <t>Test coverage</t>
        </is>
      </c>
      <c r="D19" s="7" t="n"/>
      <c r="E19" s="7">
        <f>(D17+E17)*100/(I17-H17-G17)</f>
        <v/>
      </c>
      <c r="F19" s="7" t="inlineStr">
        <is>
          <t>%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150">
      <c r="A20" s="7" t="n"/>
      <c r="B20" s="7" t="n"/>
      <c r="C20" s="7" t="inlineStr">
        <is>
          <t>Test successful coverage</t>
        </is>
      </c>
      <c r="D20" s="7" t="n"/>
      <c r="E20" s="7">
        <f>IFERROR(D17*100/(D17+E17),0)</f>
        <v/>
      </c>
      <c r="F20" s="7" t="inlineStr">
        <is>
          <t>%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150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150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150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50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50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50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50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50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150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15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150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150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150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50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50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50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50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50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50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5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50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50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50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50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50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50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50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50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50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50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50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50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50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50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50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50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50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50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5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50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50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50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50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50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50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50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50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50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5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50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50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50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50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50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50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50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50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50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5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50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50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50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50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50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50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50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50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50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5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50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50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50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50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50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50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50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50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50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5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50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5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50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5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50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5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50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5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50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5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50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5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50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5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50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5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50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5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50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5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50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5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50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5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50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5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50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5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50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5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50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5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50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5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50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5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50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5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50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5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50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5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50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5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50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5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50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5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50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50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5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50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5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50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5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50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5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50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5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50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5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50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5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50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5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50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5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50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5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50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5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50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5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50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5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50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5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50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5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50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5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50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5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50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5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50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5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50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5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50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5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50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5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50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5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50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5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50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5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50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5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50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50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50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50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50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50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50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5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50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50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50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50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50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50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50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50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50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5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50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50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50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50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50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50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50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50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50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5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50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50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50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50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50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50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50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50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50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5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50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50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50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50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50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50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50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50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50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50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50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50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50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50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50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50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50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50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5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50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50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50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50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50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50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50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50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50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5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50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50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50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50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50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50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50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50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50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5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50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50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50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50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50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50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50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50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50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5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50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50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50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50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50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50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50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50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50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5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50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50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50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50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50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50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50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50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50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5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50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50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50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50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50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50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50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50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50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5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50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50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50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50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50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50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50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50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50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5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50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50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50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50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50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50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50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50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50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5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50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50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50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50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50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50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50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50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50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50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50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50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50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50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50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50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50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50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5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50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50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50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50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50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50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50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50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50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5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50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50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50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50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50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50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50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50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50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5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50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50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50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50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50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50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50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50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50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5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50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50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50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50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50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50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50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50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50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5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50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50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50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50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50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50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50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50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50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5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50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50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50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50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50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50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50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50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50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5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50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50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50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50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50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50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50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50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50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5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50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50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50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50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50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50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50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50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50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5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50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50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50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50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50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50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50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50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50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50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50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50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50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50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50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50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50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50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5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50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50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50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50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50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50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50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50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50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5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50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50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50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50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50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50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50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50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50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5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50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50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50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50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50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50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50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50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50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5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50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50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50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50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50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50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50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50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50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5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50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50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50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50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50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50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50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50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50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5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50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50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50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50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50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50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50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50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50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5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50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50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50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50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50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50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50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50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50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5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50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50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50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50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50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50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50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50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50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5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50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50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50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50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50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50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50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50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50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50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50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50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50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50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50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50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50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50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5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50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50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50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50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50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50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50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50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50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5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50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50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50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50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50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50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50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50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50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5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50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50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50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50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50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50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50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50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50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5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50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50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50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50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50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50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50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50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50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5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50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50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50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50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50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50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50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50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50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5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50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50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50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50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50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50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50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50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50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5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50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50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50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50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50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50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50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50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50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5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50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50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50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50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50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50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50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50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50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5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50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50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50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50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50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50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50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50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50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50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50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50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50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50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50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50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50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50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5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50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50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50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50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50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50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50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50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50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5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50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50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50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50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50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50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50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50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50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5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50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50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50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50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50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50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50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50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50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5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50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50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50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50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50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50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50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50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50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5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50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50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50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50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50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50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50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50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50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5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50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50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50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50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50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50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50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50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50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5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50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50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50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50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50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50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50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50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50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5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50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50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50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50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50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50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50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50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50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5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50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50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50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50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50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50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50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50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50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50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50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50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50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50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50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50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50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50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5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50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50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50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50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50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50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50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50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50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5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50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50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50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50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50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50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50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50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50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5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50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50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50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50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50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50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50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50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50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5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50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50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50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50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50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50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50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50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50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5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50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50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50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50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50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50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50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50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50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5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50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50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50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50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50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50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50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50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50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5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50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50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50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50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50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50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50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50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50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5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50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50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50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50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50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50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50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50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50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5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50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50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50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50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50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50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50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50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50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50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50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50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50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50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50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50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50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50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5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50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50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50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50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50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50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50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50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50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5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50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50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50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50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50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50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50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50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50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5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50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50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50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50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50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50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50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50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50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5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50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50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50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50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50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50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50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50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50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5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50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50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50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50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50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50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50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50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50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5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50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50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50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50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50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50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50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50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50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5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50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50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50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50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50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50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50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50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50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5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50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50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50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50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50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50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50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50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50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5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50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50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50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50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50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50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50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50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50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50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50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50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50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50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50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50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50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50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5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50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50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50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50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50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50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50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50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50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5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50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50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50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50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50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50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50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50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50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5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50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50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50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50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50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50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50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50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50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5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50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50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50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50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50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50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50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50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50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5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" right="0.7" top="0.75" bottom="0.75" header="0.511811023622047" footer="0"/>
  <pageSetup orientation="landscape" horizontalDpi="300" verticalDpi="300"/>
  <headerFooter>
    <oddHeader/>
    <oddFooter>&amp;L 02ae-BM/PM/HDCV/FSOFT v2/0&amp;CInternal use&amp;R&amp;P/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2014-07-14T08:56:24Z</dcterms:created>
  <dcterms:modified xsi:type="dcterms:W3CDTF">2026-10-30T03:58:34Z</dcterms:modified>
  <cp:lastModifiedBy>Admin</cp:lastModifiedBy>
  <cp:revision>0</cp:revision>
</cp:coreProperties>
</file>