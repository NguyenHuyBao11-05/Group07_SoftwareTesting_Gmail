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180" tabRatio="500"/>
  </bookViews>
  <sheets>
    <sheet name="Cover" sheetId="1" r:id="rId1"/>
    <sheet name="Test Case List" sheetId="2" r:id="rId2"/>
    <sheet name="Test Design" sheetId="3" r:id="rId3"/>
    <sheet name="TC_Chức Năng 1" sheetId="4" r:id="rId4"/>
    <sheet name="TC_Chức Năng 2" sheetId="5" r:id="rId5"/>
    <sheet name="TC_Chức Năng 3" sheetId="6" r:id="rId6"/>
    <sheet name="Test Report" sheetId="7" r:id="rId7"/>
  </sheets>
  <definedNames>
    <definedName name="_xlnm._FilterDatabase" localSheetId="1" hidden="1">'Test Case List'!$B$4:$J$79</definedName>
    <definedName name="_xlnm._FilterDatabase" localSheetId="3" hidden="1">'TC_Chức Năng 1'!$B$4:$P$29</definedName>
    <definedName name="_xlnm._FilterDatabase" localSheetId="4" hidden="1">'TC_Chức Năng 2'!$B$4:$P$29</definedName>
    <definedName name="_xlnm._FilterDatabase" localSheetId="5" hidden="1">'TC_Chức Năng 3'!$B$4:$P$29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<sst xmlns="http://schemas.openxmlformats.org/spreadsheetml/2006/main" count="1767" uniqueCount="659">
  <si>
    <t>ĐỒ ÁN KIỂM THỬ PHẦN MỀM - BÀI TẬP CÁ NHÂN</t>
  </si>
  <si>
    <t>Đề tài: Kiểm thử Hệ thống Google Gmail (Group 07)</t>
  </si>
  <si>
    <t>Môn học:</t>
  </si>
  <si>
    <t>Kiểm thử và Đảm bảo chất lượng phần mềm (Software Testing &amp; Quality Assurance)</t>
  </si>
  <si>
    <t>Lớp / Nhóm:</t>
  </si>
  <si>
    <t>Group07</t>
  </si>
  <si>
    <t>Họ và tên SV:</t>
  </si>
  <si>
    <t>Trương Phúc Nên</t>
  </si>
  <si>
    <t>Mã số sinh viên:</t>
  </si>
  <si>
    <t>23130203</t>
  </si>
  <si>
    <t>Vai trò trong nhóm:</t>
  </si>
  <si>
    <t>Thành viên 1 – Cá nhân hóa giao diện và cấu hình hệ thống (Settings)</t>
  </si>
  <si>
    <t>Chức năng phụ trách:</t>
  </si>
  <si>
    <t>Chức năng 1: Tùy chỉnh Bố cục Hộp thư &amp; Khung đọc thư (Inbox Layout, Density &amp; Reading Pane)
Chức năng 2: Quản lý Chữ ký email &amp; Cài đặt chung (Signatures &amp; General Settings)
Chức năng 3: Thiết lập Trả lời tự động &amp; Mẫu thư có sẵn (Vacation Responder &amp; Templates)</t>
  </si>
  <si>
    <t>Công cụ automation (ASM7):</t>
  </si>
  <si>
    <t>Katalon Recorder (tiện ích Chrome) – file script 23130203_TruongPhucNen_ASM7.html</t>
  </si>
  <si>
    <t>GitHub Repo:</t>
  </si>
  <si>
    <t>Group07_SoftwareTesting_Gmail</t>
  </si>
  <si>
    <t>Video demo (YouTube):</t>
  </si>
  <si>
    <t>https://youtu.be/jiL-CHvOYaU</t>
  </si>
  <si>
    <t>LỊCH SỬ THAY ĐỔI TÀI LIỆU (RECORD OF CHANGES)</t>
  </si>
  <si>
    <t>Phiên bản</t>
  </si>
  <si>
    <t>Ngày cập nhật</t>
  </si>
  <si>
    <t>Tóm tắt thay đổi</t>
  </si>
  <si>
    <t>Tác giả</t>
  </si>
  <si>
    <t>v1.0</t>
  </si>
  <si>
    <t>Thiết kế Test Design và 25 Test Case chi tiết cho Chức năng 1 – Tùy chỉnh Bố cục Hộp thư &amp; Khung đọc thư</t>
  </si>
  <si>
    <t>v2.0</t>
  </si>
  <si>
    <t>Bổ sung Chức năng 2 và 3 (25 test case mỗi chức năng); thêm cột kết quả thực thi; chuẩn hóa lại định dạng theo mẫu; liên kết test case với script Katalon</t>
  </si>
  <si>
    <t>DANH SÁCH TỔNG HỢP TEST CASES - CHỨC NĂNG 1, 2 &amp; 3</t>
  </si>
  <si>
    <t>STT</t>
  </si>
  <si>
    <t>Mã Test Case</t>
  </si>
  <si>
    <t>Mã Chức Năng</t>
  </si>
  <si>
    <t>Phân Loại Kịch Bản</t>
  </si>
  <si>
    <t>Tiêu Đề Kiểm Thử</t>
  </si>
  <si>
    <t>Độ Ưu Tiên</t>
  </si>
  <si>
    <t>Người Phụ Trách</t>
  </si>
  <si>
    <t>Trạng Thái</t>
  </si>
  <si>
    <t>Automation</t>
  </si>
  <si>
    <t>TC_GMAIL_01_VIS_01</t>
  </si>
  <si>
    <t>FN_GMAIL_01</t>
  </si>
  <si>
    <t>Visual</t>
  </si>
  <si>
    <t>Kiểm tra các lựa chọn Density hiển thị trong Quick settings</t>
  </si>
  <si>
    <t>High</t>
  </si>
  <si>
    <t>Ready</t>
  </si>
  <si>
    <t>Katalon</t>
  </si>
  <si>
    <t>TC_GMAIL_01_VIS_02</t>
  </si>
  <si>
    <t>Kiểm tra giao diện lựa chọn Inbox type</t>
  </si>
  <si>
    <t>TC_GMAIL_01_VIS_03</t>
  </si>
  <si>
    <t>Kiểm tra khu vực Reading pane khi tùy chọn khả dụng</t>
  </si>
  <si>
    <t>Medium</t>
  </si>
  <si>
    <t>TC_GMAIL_01_VIS_04</t>
  </si>
  <si>
    <t>Kiểm tra bố cục danh sách thư sau khi đổi Density</t>
  </si>
  <si>
    <t>TC_GMAIL_01_VIS_05</t>
  </si>
  <si>
    <t>Kiểm tra bố cục Reading pane ở bên phải hoặc phía dưới</t>
  </si>
  <si>
    <t>TC_GMAIL_01_VAL_01</t>
  </si>
  <si>
    <t>Validation</t>
  </si>
  <si>
    <t>Kiểm tra các mức Density hợp lệ (phân vùng tương đương)</t>
  </si>
  <si>
    <t>TC_GMAIL_01_VAL_02</t>
  </si>
  <si>
    <t>Kiểm tra biên giữa mật độ thưa nhất và dày nhất</t>
  </si>
  <si>
    <t>TC_GMAIL_01_VAL_03</t>
  </si>
  <si>
    <t>Kiểm tra Inbox type chỉ nhận lựa chọn được cung cấp</t>
  </si>
  <si>
    <t>Manual</t>
  </si>
  <si>
    <t>TC_GMAIL_01_VAL_04</t>
  </si>
  <si>
    <t>Kiểm tra tùy chọn Reading pane không khả dụng</t>
  </si>
  <si>
    <t>TC_GMAIL_01_VAL_05</t>
  </si>
  <si>
    <t>Kiểm tra trạng thái đơn nhất của Density sau khi đổi nhiều lần</t>
  </si>
  <si>
    <t>TC_GMAIL_01_FUN_01</t>
  </si>
  <si>
    <t>Functionality</t>
  </si>
  <si>
    <t>Đổi Density sang Default</t>
  </si>
  <si>
    <t>TC_GMAIL_01_FUN_02</t>
  </si>
  <si>
    <t>Đổi Density sang Comfortable</t>
  </si>
  <si>
    <t>TC_GMAIL_01_FUN_03</t>
  </si>
  <si>
    <t>Đổi Density sang Compact</t>
  </si>
  <si>
    <t>TC_GMAIL_01_FUN_04</t>
  </si>
  <si>
    <t>Chuyển Inbox type sang Unread first</t>
  </si>
  <si>
    <t>TC_GMAIL_01_FUN_05</t>
  </si>
  <si>
    <t>Chuyển Inbox type sang Important first</t>
  </si>
  <si>
    <t>TC_GMAIL_01_FUN_06</t>
  </si>
  <si>
    <t>Chuyển Inbox type sang Starred first</t>
  </si>
  <si>
    <t>TC_GMAIL_01_FUN_07</t>
  </si>
  <si>
    <t>Chuyển Inbox type về Default</t>
  </si>
  <si>
    <t>TC_GMAIL_01_FUN_08</t>
  </si>
  <si>
    <t>Bật Reading pane ở bên phải</t>
  </si>
  <si>
    <t>TC_GMAIL_01_FUN_09</t>
  </si>
  <si>
    <t>Đổi Reading pane từ bên phải xuống phía dưới</t>
  </si>
  <si>
    <t>TC_GMAIL_01_FUN_10</t>
  </si>
  <si>
    <t>Tắt Reading pane</t>
  </si>
  <si>
    <t>TC_GMAIL_01_NAV_01</t>
  </si>
  <si>
    <t>Navigation</t>
  </si>
  <si>
    <t>Kiểm tra cấu hình Density được giữ sau khi tải lại trang</t>
  </si>
  <si>
    <t>TC_GMAIL_01_NAV_02</t>
  </si>
  <si>
    <t>Kiểm tra Inbox type được giữ sau khi tải lại trang</t>
  </si>
  <si>
    <t>TC_GMAIL_01_NAV_03</t>
  </si>
  <si>
    <t>Kiểm tra Reading pane được giữ sau khi tải lại trang</t>
  </si>
  <si>
    <t>TC_GMAIL_01_NAV_04</t>
  </si>
  <si>
    <t>Kiểm tra cấu hình sau khi rời Gmail và mở lại</t>
  </si>
  <si>
    <t>TC_GMAIL_01_EXC_01</t>
  </si>
  <si>
    <t>Exception</t>
  </si>
  <si>
    <t>Kiểm tra khả năng tiếp tục dùng Inbox sau khi thay đổi nhiều cài đặt liên tiếp</t>
  </si>
  <si>
    <t>TC_GMAIL_02_VIS_01</t>
  </si>
  <si>
    <t>FN_GMAIL_02</t>
  </si>
  <si>
    <t>Kiểm tra giao diện mục Signature trong Settings &gt; General</t>
  </si>
  <si>
    <t>TC_GMAIL_02_VIS_02</t>
  </si>
  <si>
    <t>Kiểm tra hiển thị chữ ký trong cửa sổ soạn thư (Compose)</t>
  </si>
  <si>
    <t>TC_GMAIL_02_VIS_03</t>
  </si>
  <si>
    <t>Kiểm tra giao diện các mục chính trong tab General</t>
  </si>
  <si>
    <t>TC_GMAIL_02_VIS_04</t>
  </si>
  <si>
    <t>Kiểm tra khung xem trước Default text style</t>
  </si>
  <si>
    <t>TC_GMAIL_02_VIS_05</t>
  </si>
  <si>
    <t>Kiểm tra nút Save Changes và Cancel ở cuối trang Settings</t>
  </si>
  <si>
    <t>Low</t>
  </si>
  <si>
    <t>TC_GMAIL_02_VAL_01</t>
  </si>
  <si>
    <t>Kiểm tra giới hạn độ dài chữ ký (biên khoảng 10.000 ký tự)</t>
  </si>
  <si>
    <t>TC_GMAIL_02_VAL_02</t>
  </si>
  <si>
    <t>Kiểm tra tạo chữ ký với tên rỗng</t>
  </si>
  <si>
    <t>TC_GMAIL_02_VAL_03</t>
  </si>
  <si>
    <t>Kiểm tra danh sách giá trị của Maximum page size</t>
  </si>
  <si>
    <t>TC_GMAIL_02_VAL_04</t>
  </si>
  <si>
    <t>Kiểm tra danh sách giá trị của Undo Send (cancellation period)</t>
  </si>
  <si>
    <t>TC_GMAIL_02_VAL_05</t>
  </si>
  <si>
    <t>Kiểm tra chữ ký chứa tiếng Việt có dấu và ký tự đặc biệt</t>
  </si>
  <si>
    <t>TC_GMAIL_02_FUN_01</t>
  </si>
  <si>
    <t>Kiểm tra tạo chữ ký mới</t>
  </si>
  <si>
    <t>TC_GMAIL_02_FUN_02</t>
  </si>
  <si>
    <t>Kiểm tra chỉnh sửa nội dung chữ ký đã tạo</t>
  </si>
  <si>
    <t>TC_GMAIL_02_FUN_03</t>
  </si>
  <si>
    <t>Kiểm tra đặt chữ ký mặc định cho thư mới</t>
  </si>
  <si>
    <t>TC_GMAIL_02_FUN_04</t>
  </si>
  <si>
    <t>Kiểm tra dùng chữ ký riêng cho thư trả lời/chuyển tiếp</t>
  </si>
  <si>
    <t>TC_GMAIL_02_FUN_05</t>
  </si>
  <si>
    <t>Kiểm tra chèn/đổi chữ ký bằng nút Insert signature trong Compose</t>
  </si>
  <si>
    <t>TC_GMAIL_02_FUN_06</t>
  </si>
  <si>
    <t>Kiểm tra định dạng chữ ký (đậm, màu chữ, hyperlink)</t>
  </si>
  <si>
    <t>TC_GMAIL_02_FUN_07</t>
  </si>
  <si>
    <t>Kiểm tra chèn hình ảnh vào chữ ký</t>
  </si>
  <si>
    <t>TC_GMAIL_02_FUN_08</t>
  </si>
  <si>
    <t>Kiểm tra đổi Maximum page size sang 25</t>
  </si>
  <si>
    <t>TC_GMAIL_02_FUN_09</t>
  </si>
  <si>
    <t>Kiểm tra bật Undo Send với thời gian hủy 30 giây</t>
  </si>
  <si>
    <t>TC_GMAIL_02_FUN_10</t>
  </si>
  <si>
    <t>Kiểm tra xóa chữ ký</t>
  </si>
  <si>
    <t>TC_GMAIL_02_NAV_01</t>
  </si>
  <si>
    <t>Kiểm tra truy cập trực tiếp Settings &gt; General bằng URL</t>
  </si>
  <si>
    <t>TC_GMAIL_02_NAV_02</t>
  </si>
  <si>
    <t>Kiểm tra bấm Cancel khi đang sửa chữ ký (chưa lưu)</t>
  </si>
  <si>
    <t>TC_GMAIL_02_NAV_03</t>
  </si>
  <si>
    <t>Kiểm tra điều hướng Compose &gt; Insert signature &gt; Manage signatures</t>
  </si>
  <si>
    <t>TC_GMAIL_02_NAV_04</t>
  </si>
  <si>
    <t>Kiểm tra cấu hình chữ ký được giữ sau khi tải lại trang</t>
  </si>
  <si>
    <t>TC_GMAIL_02_EXC_01</t>
  </si>
  <si>
    <t>Kiểm tra ngoại lệ: mất kết nối mạng khi bấm Save Changes</t>
  </si>
  <si>
    <t>TC_GMAIL_03_VIS_01</t>
  </si>
  <si>
    <t>FN_GMAIL_03</t>
  </si>
  <si>
    <t>Kiểm tra giao diện mục Vacation responder</t>
  </si>
  <si>
    <t>TC_GMAIL_03_VIS_02</t>
  </si>
  <si>
    <t>Kiểm tra date picker của ô First day</t>
  </si>
  <si>
    <t>TC_GMAIL_03_VIS_03</t>
  </si>
  <si>
    <t>Kiểm tra banner thông báo khi Vacation responder đang bật</t>
  </si>
  <si>
    <t>TC_GMAIL_03_VIS_04</t>
  </si>
  <si>
    <t>Kiểm tra giao diện mục Templates trong tab Advanced</t>
  </si>
  <si>
    <t>TC_GMAIL_03_VIS_05</t>
  </si>
  <si>
    <t>Kiểm tra menu Templates trong cửa sổ Compose khi đã bật</t>
  </si>
  <si>
    <t>TC_GMAIL_03_VAL_01</t>
  </si>
  <si>
    <t>Kiểm tra bắt lỗi Last day trước First day</t>
  </si>
  <si>
    <t>TC_GMAIL_03_VAL_02</t>
  </si>
  <si>
    <t>Kiểm tra bỏ trống Last day (trường tùy chọn)</t>
  </si>
  <si>
    <t>TC_GMAIL_03_VAL_03</t>
  </si>
  <si>
    <t>Kiểm tra bắt lỗi để trống nội dung Message</t>
  </si>
  <si>
    <t>TC_GMAIL_03_VAL_04</t>
  </si>
  <si>
    <t>Kiểm tra nhập sai định dạng ngày ở ô First day</t>
  </si>
  <si>
    <t>TC_GMAIL_03_VAL_05</t>
  </si>
  <si>
    <t>Kiểm tra Subject chứa tiếng Việt có dấu và emoji</t>
  </si>
  <si>
    <t>TC_GMAIL_03_FUN_01</t>
  </si>
  <si>
    <t>Kiểm tra bật Vacation responder với đầy đủ thông tin</t>
  </si>
  <si>
    <t>TC_GMAIL_03_FUN_02</t>
  </si>
  <si>
    <t>Kiểm tra tự động trả lời người gửi lần đầu</t>
  </si>
  <si>
    <t>TC_GMAIL_03_FUN_03</t>
  </si>
  <si>
    <t>Kiểm tra không trả lời lặp lại cho cùng người gửi</t>
  </si>
  <si>
    <t>TC_GMAIL_03_FUN_04</t>
  </si>
  <si>
    <t>Kiểm tra chỉ trả lời người có trong Danh bạ (Contacts)</t>
  </si>
  <si>
    <t>TC_GMAIL_03_FUN_05</t>
  </si>
  <si>
    <t>Kiểm tra chèn template vào thư mới</t>
  </si>
  <si>
    <t>TC_GMAIL_03_FUN_06</t>
  </si>
  <si>
    <t>Kiểm tra tắt Vacation responder trong Settings</t>
  </si>
  <si>
    <t>TC_GMAIL_03_FUN_07</t>
  </si>
  <si>
    <t>Kiểm tra kết thúc responder bằng liên kết 'End now' trên banner</t>
  </si>
  <si>
    <t>TC_GMAIL_03_FUN_08</t>
  </si>
  <si>
    <t>Kiểm tra chỉnh sửa Subject khi responder đang bật</t>
  </si>
  <si>
    <t>TC_GMAIL_03_FUN_09</t>
  </si>
  <si>
    <t>Kiểm tra bật tính năng Templates</t>
  </si>
  <si>
    <t>TC_GMAIL_03_FUN_10</t>
  </si>
  <si>
    <t>Kiểm tra lưu thư nháp thành template mới</t>
  </si>
  <si>
    <t>TC_GMAIL_03_NAV_01</t>
  </si>
  <si>
    <t>Kiểm tra điều hướng giữa tab General (Vacation) và tab Advanced (Templates)</t>
  </si>
  <si>
    <t>TC_GMAIL_03_NAV_02</t>
  </si>
  <si>
    <t>Kiểm tra cấu hình Vacation responder được giữ sau khi tải lại trang</t>
  </si>
  <si>
    <t>TC_GMAIL_03_NAV_03</t>
  </si>
  <si>
    <t>Kiểm tra tắt rồi bật lại Templates</t>
  </si>
  <si>
    <t>TC_GMAIL_03_NAV_04</t>
  </si>
  <si>
    <t>Kiểm tra menu Templates trong Compose toàn màn hình/pop-out</t>
  </si>
  <si>
    <t>TC_GMAIL_03_EXC_01</t>
  </si>
  <si>
    <t>Kiểm tra ngoại lệ: mất kết nối mạng khi lưu Vacation responder</t>
  </si>
  <si>
    <t>THIẾT KẾ KỊCH BẢN KIỂM THỬ (TEST DESIGN / VIEWPOINTS) - CHỨC NĂNG 1, 2 &amp; 3</t>
  </si>
  <si>
    <t>Mã Kịch Bản (Scenario ID)</t>
  </si>
  <si>
    <t>Chức Năng Kiểm Thử</t>
  </si>
  <si>
    <t>Kỹ Thuật Áp Dụng</t>
  </si>
  <si>
    <t>Mục Tiêu Kiểm Thử</t>
  </si>
  <si>
    <t>Số Lượng TC</t>
  </si>
  <si>
    <t>Ghi Chú</t>
  </si>
  <si>
    <t>CHỨC NĂNG 1: INBOX LAYOUT, DENSITY &amp; READING PANE</t>
  </si>
  <si>
    <t>TS_GMAIL_01_VIS</t>
  </si>
  <si>
    <t>Giao diện Density, Inbox type và Reading pane</t>
  </si>
  <si>
    <t>GUI Review &amp; Usability Testing</t>
  </si>
  <si>
    <t>Kiểm tra khả năng nhận biết lựa chọn, bố cục và khung đọc theo cấu hình khả dụng.</t>
  </si>
  <si>
    <t>Kiểm thử giao diện</t>
  </si>
  <si>
    <t>TS_GMAIL_01_VAL_DENSITY</t>
  </si>
  <si>
    <t>Các mức Density và trạng thái lựa chọn</t>
  </si>
  <si>
    <t>Equivalence Partitioning &amp; Boundary Analysis</t>
  </si>
  <si>
    <t>Kiểm tra các mức mật độ hợp lệ, mức rộng nhất/gọn nhất và trạng thái chỉ chọn một mức.</t>
  </si>
  <si>
    <t>Phân vùng và biên của các lựa chọn</t>
  </si>
  <si>
    <t>TS_GMAIL_01_VAL_SETTINGS</t>
  </si>
  <si>
    <t>Lựa chọn Inbox type và điều kiện khả dụng</t>
  </si>
  <si>
    <t>Equivalence Partitioning</t>
  </si>
  <si>
    <t>Xác minh chỉ chọn kiểu Inbox được giao diện cung cấp và xử lý đúng khi Reading pane không khả dụng.</t>
  </si>
  <si>
    <t>Không giả định mọi tài khoản có cùng tùy chọn</t>
  </si>
  <si>
    <t>TS_GMAIL_01_FUN_DENSITY</t>
  </si>
  <si>
    <t>Thay đổi Density</t>
  </si>
  <si>
    <t>Use Case Testing</t>
  </si>
  <si>
    <t>Kiểm tra áp dụng các mức Default, Comfortable và Compact khi được cung cấp.</t>
  </si>
  <si>
    <t>Nghiệp vụ chính</t>
  </si>
  <si>
    <t>TS_GMAIL_01_FUN_INBOX</t>
  </si>
  <si>
    <t>Thay đổi Inbox type</t>
  </si>
  <si>
    <t>Kiểm tra chuyển giữa Default, Unread first, Important first và Starred first khi lựa chọn được cung cấp.</t>
  </si>
  <si>
    <t>TS_GMAIL_01_FUN_READING</t>
  </si>
  <si>
    <t>Bật/tắt và đổi vị trí Reading pane</t>
  </si>
  <si>
    <t>State Transition Testing</t>
  </si>
  <si>
    <t>Kiểm tra chuyển trạng thái tắt/bật, chuyển vị trí bên phải/bên dưới và hiển thị nội dung thư.</t>
  </si>
  <si>
    <t>Chỉ áp dụng nếu tính năng có sẵn</t>
  </si>
  <si>
    <t>TS_GMAIL_01_PERSIST</t>
  </si>
  <si>
    <t>Lưu cấu hình, điều hướng và ngoại lệ giao diện</t>
  </si>
  <si>
    <t>State Transition Testing &amp; Error Guessing</t>
  </si>
  <si>
    <t>Kiểm tra duy trì cấu hình sau reload/mở lại và khả năng tiếp tục sử dụng Inbox sau nhiều thay đổi.</t>
  </si>
  <si>
    <t>Kiểm tra trạng thái lưu và độ ổn định</t>
  </si>
  <si>
    <t>CHỨC NĂNG 2: SIGNATURES &amp; GENERAL SETTINGS</t>
  </si>
  <si>
    <t>TS_GMAIL_02_VIS</t>
  </si>
  <si>
    <t>Giao diện Signature &amp; General</t>
  </si>
  <si>
    <t>Kiểm tra giao diện mục Signature, chữ ký trong Compose, tab General, Default text style và nút Save/Cancel.</t>
  </si>
  <si>
    <t>TS_GMAIL_02_VAL</t>
  </si>
  <si>
    <t>Ràng buộc dữ liệu Signature &amp; General</t>
  </si>
  <si>
    <t>Equivalence Partitioning &amp; Boundary Value Analysis</t>
  </si>
  <si>
    <t>Kiểm tra giới hạn 10.000 ký tự, tên chữ ký rỗng, danh sách giá trị cố định và ký tự Unicode.</t>
  </si>
  <si>
    <t>Phân vùng và biên</t>
  </si>
  <si>
    <t>TS_GMAIL_02_FUN_SIGN</t>
  </si>
  <si>
    <t>Quản lý Chữ ký</t>
  </si>
  <si>
    <t>Use Case Testing (CRUD)</t>
  </si>
  <si>
    <t>Kiểm tra tạo, sửa, đặt mặc định, chèn, định dạng, chèn ảnh và xóa chữ ký.</t>
  </si>
  <si>
    <t>TS_GMAIL_02_FUN_GEN</t>
  </si>
  <si>
    <t>Cài đặt chung (General)</t>
  </si>
  <si>
    <t>Equivalence Partitioning &amp; Use Case Testing</t>
  </si>
  <si>
    <t>Kiểm tra Maximum page size và Undo Send.</t>
  </si>
  <si>
    <t>TS_GMAIL_02_NAV_EXC</t>
  </si>
  <si>
    <t>Điều hướng, lưu cấu hình &amp; ngoại lệ</t>
  </si>
  <si>
    <t>Kiểm tra truy cập bằng URL, Cancel, Manage signatures, giữ cấu hình sau reload và mất mạng khi lưu.</t>
  </si>
  <si>
    <t>Ổn định &amp; ngoại lệ</t>
  </si>
  <si>
    <t>CHỨC NĂNG 3: VACATION RESPONDER &amp; TEMPLATES</t>
  </si>
  <si>
    <t>TS_GMAIL_03_VIS</t>
  </si>
  <si>
    <t>Giao diện Vacation responder &amp; Templates</t>
  </si>
  <si>
    <t>Kiểm tra form Vacation responder, date picker, banner và mục Templates.</t>
  </si>
  <si>
    <t>TS_GMAIL_03_VAL</t>
  </si>
  <si>
    <t>Ràng buộc dữ liệu Vacation responder</t>
  </si>
  <si>
    <t>Kiểm tra ngày bắt đầu/kết thúc, Message rỗng, sai định dạng ngày và Unicode.</t>
  </si>
  <si>
    <t>TS_GMAIL_03_FUN_VAC</t>
  </si>
  <si>
    <t>Trả lời tự động</t>
  </si>
  <si>
    <t>Kiểm tra bật/tắt responder, auto-reply, giới hạn Contacts, End now và chỉnh sửa nội dung.</t>
  </si>
  <si>
    <t>TS_GMAIL_03_FUN_TPL</t>
  </si>
  <si>
    <t>Mẫu thư (Templates)</t>
  </si>
  <si>
    <t>Kiểm tra bật Templates, lưu draft thành template và chèn template vào thư.</t>
  </si>
  <si>
    <t>TS_GMAIL_03_NAV_EXC</t>
  </si>
  <si>
    <t>Kiểm tra điều hướng tab, giữ cấu hình sau reload, bật/tắt Templates, Full-screen và mất mạng.</t>
  </si>
  <si>
    <t>DANH SÁCH TEST CASES CHI TIẾT - CHỨC NĂNG 1: INBOX LAYOUT, DENSITY &amp; READING PANE</t>
  </si>
  <si>
    <t>Mã TC (ID)</t>
  </si>
  <si>
    <t>Phân Loại</t>
  </si>
  <si>
    <t>Tên Kịch Bản / Mục Tiêu</t>
  </si>
  <si>
    <t>Điều Kiện Tiên Quyết</t>
  </si>
  <si>
    <t>Các Bước Thực Hiện</t>
  </si>
  <si>
    <t>Dữ Liệu Đầu Vào</t>
  </si>
  <si>
    <t>Kết Quả Mong Chờ</t>
  </si>
  <si>
    <t>Kết Quả Thực Tế</t>
  </si>
  <si>
    <t>Kết Quả (Pass/Fail)</t>
  </si>
  <si>
    <t>Ngày Test</t>
  </si>
  <si>
    <t>Đã đăng nhập Gmail; trang Gmail tải xong; Quick settings khả dụng.</t>
  </si>
  <si>
    <t>1. Mở Gmail.
2. Nhấn biểu tượng Settings (bánh răng).
3. Quan sát khu vực Density trong Quick settings.</t>
  </si>
  <si>
    <t>N/A</t>
  </si>
  <si>
    <t>Khu vực Density hiển thị các lựa chọn khả dụng (thường gồm Default, Comfortable, Compact) và có thể nhận biết lựa chọn đang được áp dụng; không có nhãn bị chồng lấp hoặc cắt mất.</t>
  </si>
  <si>
    <t>Untested</t>
  </si>
  <si>
    <t>Automated – script Katalon TC_GMAIL_01_VIS_01</t>
  </si>
  <si>
    <t>Đã đăng nhập Gmail; Quick settings khả dụng.</t>
  </si>
  <si>
    <t>1. Mở Quick settings.
2. Tìm khu vực Inbox type.
3. Quan sát tên và trạng thái các lựa chọn.</t>
  </si>
  <si>
    <t>Các kiểu Inbox được tài khoản hỗ trợ hiển thị rõ ràng; lựa chọn hiện tại được đánh dấu nhất quán. Không yêu cầu mọi tài khoản phải có cùng danh sách lựa chọn.</t>
  </si>
  <si>
    <t>Automated – script Katalon TC_GMAIL_01_VIS_02</t>
  </si>
  <si>
    <t>Đã đăng nhập Gmail; tài khoản/giao diện có hỗ trợ Reading pane.</t>
  </si>
  <si>
    <t>1. Mở Quick settings.
2. Tìm Reading pane.
3. Quan sát trạng thái và các vị trí được cung cấp.</t>
  </si>
  <si>
    <t>Reading pane và các tùy chọn vị trí khả dụng hiển thị rõ ràng; nếu tính năng không được cung cấp trong tài khoản thì ghi N/A, không đánh dấu lỗi sản phẩm.</t>
  </si>
  <si>
    <t>Automated – script Katalon TC_GMAIL_01_VIS_03</t>
  </si>
  <si>
    <t>Inbox có nhiều email với chủ đề/người gửi khác nhau.</t>
  </si>
  <si>
    <t>1. Mở Quick settings.
2. Chọn lần lượt các mức Density khả dụng.
3. Quan sát khoảng cách hàng, biểu tượng và nội dung thư.</t>
  </si>
  <si>
    <t>Density: từng lựa chọn khả dụng</t>
  </si>
  <si>
    <t>Khoảng cách/độ cao hàng thay đổi phù hợp với mức Density; nội dung người gửi, chủ đề và biểu tượng vẫn đọc được, không bị chồng lấn.</t>
  </si>
  <si>
    <t>Automated – script Katalon TC_GMAIL_01_VIS_04</t>
  </si>
  <si>
    <t>Reading pane và ít nhất một vị trí được hỗ trợ khả dụng; Inbox có email.</t>
  </si>
  <si>
    <t>1. Mở Quick settings.
2. Chọn vị trí bên phải, quan sát.
3. Chọn vị trí phía dưới, quan sát nếu có.</t>
  </si>
  <si>
    <t>Reading pane: Right of inbox / Below inbox (nếu có)</t>
  </si>
  <si>
    <t>Khung đọc xuất hiện đúng vùng đã chọn; danh sách thư vẫn có thể nhận biết và nội dung thư không bị che khuất bất thường.</t>
  </si>
  <si>
    <t>Automated – script Katalon TC_GMAIL_01_VIS_05</t>
  </si>
  <si>
    <t>Quick settings khả dụng.</t>
  </si>
  <si>
    <t>1. Chọn từng mức Density được liệt kê.
2. Quan sát dấu chọn và giao diện sau mỗi lần chọn.</t>
  </si>
  <si>
    <t>Mỗi lựa chọn Density được giao diện cung cấp</t>
  </si>
  <si>
    <t>Mỗi lựa chọn được chấp nhận; chỉ một mức được thể hiện là đang chọn tại một thời điểm; giao diện chuyển sang mật độ tương ứng.</t>
  </si>
  <si>
    <t>Automated – script Katalon TC_GMAIL_01_VAL_01</t>
  </si>
  <si>
    <t>Density có ít nhất hai mức khả dụng.</t>
  </si>
  <si>
    <t>1. Chọn mức có khoảng cách hiển thị lớn nhất.
2. Quan sát danh sách.
3. Chọn mức có khoảng cách nhỏ nhất.
4. So sánh số hàng nhìn thấy trong cùng vùng màn hình.</t>
  </si>
  <si>
    <t>Density: mức rộng nhất và mức gọn nhất có sẵn</t>
  </si>
  <si>
    <t>Mức rộng có khoảng cách hàng lớn hơn và thường hiển thị ít hàng hơn; mức gọn có khoảng cách nhỏ hơn và thường hiển thị nhiều hàng hơn; không mất dữ liệu thư.</t>
  </si>
  <si>
    <t>Automated – script Katalon TC_GMAIL_01_VAL_02</t>
  </si>
  <si>
    <t>1. Mở khu vực Inbox type.
2. Ghi lại các lựa chọn hiển thị.
3. Chọn một lựa chọn có sẵn.</t>
  </si>
  <si>
    <t>Một kiểu Inbox được hiển thị trong giao diện</t>
  </si>
  <si>
    <t>Gmail chỉ cho chọn qua các tùy chọn giao diện được cung cấp; lựa chọn hợp lệ được áp dụng, không cần nhập giá trị tùy ý.</t>
  </si>
  <si>
    <t>Manual – Danh sách radio Inbox type đã được kiểm tra bằng VIS_02; không có cách ổn định kiểm 'không nhập tự do'</t>
  </si>
  <si>
    <t>Tài khoản/giao diện không hiển thị Reading pane.</t>
  </si>
  <si>
    <t>1. Mở Quick settings.
2. Xác nhận không có mục Reading pane.
3. Kiểm tra không có nút/vị trí Reading pane ở khu vực cài đặt đang xem.</t>
  </si>
  <si>
    <t>Reading pane không được cung cấp</t>
  </si>
  <si>
    <t>Không thể chọn vị trí Reading pane khi tùy chọn không hiện diện; các phần cài đặt khác vẫn sử dụng được. Ghi nhận là N/A cho các test phụ thuộc tính năng.</t>
  </si>
  <si>
    <t>Manual – Phụ thuộc tài khoản không có Reading pane (N/A với tài khoản hiện tại)</t>
  </si>
  <si>
    <t>1. Chọn Density A.
2. Chọn Density B.
3. Mở lại Quick settings.</t>
  </si>
  <si>
    <t>Hai mức Density khả dụng A và B</t>
  </si>
  <si>
    <t>Chỉ Density B được đánh dấu là lựa chọn hiện tại sau thao tác cuối; không có trạng thái chọn đồng thời hai mức.</t>
  </si>
  <si>
    <t>Automated – script Katalon TC_GMAIL_01_VAL_05</t>
  </si>
  <si>
    <t>1. Mở Settings.
2. Chọn Density: Default.
3. Đóng Quick settings và quan sát Inbox.</t>
  </si>
  <si>
    <t>Density = Default (nếu có)</t>
  </si>
  <si>
    <t>Default được đánh dấu là đang chọn; danh sách thư chuyển sang bố cục mặc định của Gmail; không có thông báo lỗi.</t>
  </si>
  <si>
    <t>Automated – script Katalon TC_GMAIL_01_FUN_01</t>
  </si>
  <si>
    <t>Quick settings khả dụng; lựa chọn Comfortable được cung cấp.</t>
  </si>
  <si>
    <t>1. Mở Settings.
2. Chọn Density: Comfortable.
3. Quan sát danh sách thư.</t>
  </si>
  <si>
    <t>Density = Comfortable</t>
  </si>
  <si>
    <t>Comfortable được đánh dấu là đang chọn; khoảng cách hàng rộng hơn kiểu Compact nếu cả hai cùng khả dụng.</t>
  </si>
  <si>
    <t>Automated – script Katalon TC_GMAIL_01_FUN_02</t>
  </si>
  <si>
    <t>Quick settings khả dụng; lựa chọn Compact được cung cấp.</t>
  </si>
  <si>
    <t>1. Mở Settings.
2. Chọn Density: Compact.
3. Quan sát danh sách thư.</t>
  </si>
  <si>
    <t>Density = Compact</t>
  </si>
  <si>
    <t>Compact được đánh dấu là đang chọn; khoảng cách hàng gọn hơn, các hàng thư được trình bày dày hơn mà thông tin vẫn nhận biết được.</t>
  </si>
  <si>
    <t>Automated – script Katalon TC_GMAIL_01_FUN_03</t>
  </si>
  <si>
    <t>Inbox type Unread first được cung cấp; có cả thư đã đọc và chưa đọc trong Inbox.</t>
  </si>
  <si>
    <t>1. Mở Quick settings.
2. Chọn Inbox type: Unread first.
3. Quan sát các nhóm thư.</t>
  </si>
  <si>
    <t>Inbox type = Unread first</t>
  </si>
  <si>
    <t>Thư chưa đọc được ưu tiên hiển thị ở phần đầu theo bố cục Gmail; các thư khác vẫn có thể truy cập trong Inbox.</t>
  </si>
  <si>
    <t>Automated – script Katalon TC_GMAIL_01_FUN_04</t>
  </si>
  <si>
    <t>Inbox type Important first được cung cấp; có thư được đánh dấu quan trọng hoặc hệ thống phân loại.</t>
  </si>
  <si>
    <t>1. Mở Quick settings.
2. Chọn Important first.
3. Quan sát các phần trong Inbox.</t>
  </si>
  <si>
    <t>Inbox type = Important first</t>
  </si>
  <si>
    <t>Inbox chuyển sang bố cục ưu tiên thư quan trọng ở phần đầu; các phần còn lại được hiển thị theo cấu hình Gmail.</t>
  </si>
  <si>
    <t>Automated – script Katalon TC_GMAIL_01_FUN_05</t>
  </si>
  <si>
    <t>Inbox type Starred first được cung cấp; có ít nhất một thư được gắn sao.</t>
  </si>
  <si>
    <t>1. Mở Quick settings.
2. Chọn Starred first.
3. Quan sát Inbox.</t>
  </si>
  <si>
    <t>Inbox type = Starred first</t>
  </si>
  <si>
    <t>Thư có sao được ưu tiên ở phần đầu; các thư khác không bị xóa và vẫn có thể truy cập.</t>
  </si>
  <si>
    <t>Automated – script Katalon TC_GMAIL_01_FUN_06</t>
  </si>
  <si>
    <t>Inbox type hiện tại không phải Default; Default được cung cấp.</t>
  </si>
  <si>
    <t>1. Mở Quick settings.
2. Chọn Inbox type: Default.
3. Quan sát Inbox.</t>
  </si>
  <si>
    <t>Inbox type = Default</t>
  </si>
  <si>
    <t>Inbox trở về bố cục Default; trạng thái lựa chọn phản ánh Default và thư vẫn hiển thị bình thường.</t>
  </si>
  <si>
    <t>Automated – script Katalon TC_GMAIL_01_FUN_07</t>
  </si>
  <si>
    <t>Reading pane và tùy chọn bên phải khả dụng.</t>
  </si>
  <si>
    <t>1. Mở Quick settings.
2. Bật Reading pane nếu đang tắt.
3. Chọn Right of inbox.
4. Chọn một email.</t>
  </si>
  <si>
    <t>Reading pane = Right of inbox</t>
  </si>
  <si>
    <t>Khung xem trước thư xuất hiện bên phải danh sách (hoặc vùng Inbox); khi chọn email, nội dung thư hiển thị trong khung đọc theo giao diện Gmail.</t>
  </si>
  <si>
    <t>Automated – script Katalon TC_GMAIL_01_FUN_08</t>
  </si>
  <si>
    <t>Reading pane đang bật; tùy chọn Below inbox khả dụng.</t>
  </si>
  <si>
    <t>1. Mở Quick settings.
2. Chọn Below inbox.
3. Chọn một email và quan sát.</t>
  </si>
  <si>
    <t>Reading pane = Below inbox</t>
  </si>
  <si>
    <t>Khung đọc chuyển xuống phía dưới danh sách thư; vị trí bên phải không còn được dùng.</t>
  </si>
  <si>
    <t>Automated – script Katalon TC_GMAIL_01_FUN_09</t>
  </si>
  <si>
    <t>Reading pane đang bật và Quick settings khả dụng.</t>
  </si>
  <si>
    <t>1. Mở Quick settings.
2. Chọn No split / tắt Reading pane (nhãn tương đương trên giao diện).
3. Chọn một email.</t>
  </si>
  <si>
    <t>Reading pane = Off / No split</t>
  </si>
  <si>
    <t>Khung đọc chia đôi không còn hiển thị; khi mở email, Gmail sử dụng cách xem thư thông thường.</t>
  </si>
  <si>
    <t>Automated – script Katalon TC_GMAIL_01_FUN_10</t>
  </si>
  <si>
    <t>Đã chọn một Density khác mặc định; Gmail đang mở.</t>
  </si>
  <si>
    <t>1. Chọn Density Compact (hoặc mức khác Default).
2. Tải lại trang bằng trình duyệt.
3. Mở Quick settings.</t>
  </si>
  <si>
    <t>Density đã chọn trước khi reload</t>
  </si>
  <si>
    <t>Sau khi tải lại, lựa chọn Density vẫn là mức đã chọn và bố cục tương ứng được giữ; nếu có thay đổi do chính sách tài khoản, ghi nhận thực tế.</t>
  </si>
  <si>
    <t>Automated – script Katalon TC_GMAIL_01_NAV_01</t>
  </si>
  <si>
    <t>Đã chọn một Inbox type khác Default; tùy chọn khả dụng.</t>
  </si>
  <si>
    <t>1. Chọn Unread first (hoặc kiểu khác Default).
2. Tải lại trang.
3. Quan sát Inbox và Quick settings.</t>
  </si>
  <si>
    <t>Inbox type đã chọn trước khi reload</t>
  </si>
  <si>
    <t>Kiểu Inbox đã chọn vẫn được áp dụng sau khi tải lại; bố cục và trạng thái lựa chọn nhất quán.</t>
  </si>
  <si>
    <t>Automated – script Katalon TC_GMAIL_01_NAV_02</t>
  </si>
  <si>
    <t>Reading pane khả dụng; đã chọn vị trí hoặc trạng thái bật/tắt.</t>
  </si>
  <si>
    <t>1. Chọn Reading pane ở một vị trí khả dụng.
2. Tải lại Gmail.
3. Quan sát Quick settings và Inbox.</t>
  </si>
  <si>
    <t>Reading pane: trạng thái/vị trí đã chọn</t>
  </si>
  <si>
    <t>Trạng thái và vị trí Reading pane được giữ sau khi tải lại nếu Gmail lưu cấu hình cho tài khoản; nếu tùy chọn không có, ghi N/A.</t>
  </si>
  <si>
    <t>Automated – script Katalon TC_GMAIL_01_NAV_03</t>
  </si>
  <si>
    <t>Đã cấu hình Density/Inbox type/Reading pane; có thể mở lại cùng tài khoản trong phiên được phép.</t>
  </si>
  <si>
    <t>1. Ghi lại các lựa chọn hiện tại.
2. Đóng tab Gmail.
3. Mở lại Gmail trong cùng trình duyệt và tài khoản.
4. Kiểm tra các lựa chọn.</t>
  </si>
  <si>
    <t>Cấu hình đã lưu trước khi đóng tab</t>
  </si>
  <si>
    <t>Các tùy chọn được Gmail lưu vẫn giữ nguyên sau khi mở lại; không tự chuyển về cấu hình khác ngoài dự kiến.</t>
  </si>
  <si>
    <t>Automated – script Katalon TC_GMAIL_01_NAV_04</t>
  </si>
  <si>
    <t>Quick settings khả dụng; ít nhất hai cài đặt trong phạm vi có thể thay đổi.</t>
  </si>
  <si>
    <t>1. Đổi Density.
2. Đổi Inbox type.
3. Đổi Reading pane nếu khả dụng.
4. Đóng Quick settings và mở một email.</t>
  </si>
  <si>
    <t>Một thay đổi cho mỗi tùy chọn khả dụng</t>
  </si>
  <si>
    <t>Các thay đổi không làm trang bị treo; Inbox vẫn điều hướng được, email có thể mở và không xuất hiện lỗi giao diện nghiêm trọng. Ghi N/A cho bước Reading pane nếu không có tùy chọn.</t>
  </si>
  <si>
    <t>Automated – script Katalon TC_GMAIL_01_EXC_01</t>
  </si>
  <si>
    <t>DANH SÁCH TEST CASES CHI TIẾT - CHỨC NĂNG 2: SIGNATURES &amp; GENERAL SETTINGS</t>
  </si>
  <si>
    <t>Đã đăng nhập Gmail; giao diện đang để ngôn ngữ English (US).</t>
  </si>
  <si>
    <t>1. Mở Settings &gt; See all settings &gt; tab General.
2. Cuộn đến mục Signature.
3. Quan sát giao diện.</t>
  </si>
  <si>
    <t>Hiển thị nút 'Create new', vùng soạn nội dung chữ ký và mục 'Signature defaults' gồm 'For new emails use' và 'On reply/forward use'.</t>
  </si>
  <si>
    <t>Automated – script Katalon TC_GMAIL_02_VIS_01</t>
  </si>
  <si>
    <t>Đã tạo chữ ký 'ASM7_Test' và đặt làm chữ ký mặc định cho thư mới.</t>
  </si>
  <si>
    <t>1. Click Compose.
2. Quan sát cuối nội dung thư.</t>
  </si>
  <si>
    <t>Chữ ký tự động xuất hiện ở cuối thân thư soạn mới, đúng nội dung đã lưu.</t>
  </si>
  <si>
    <t>Automated – script Katalon TC_GMAIL_02_VIS_02</t>
  </si>
  <si>
    <t>1. Mở Settings &gt; tab General.
2. Cuộn từ đầu đến cuối trang.</t>
  </si>
  <si>
    <t>Hiển thị các mục Language, Maximum page size, Undo Send, Default reply behavior, Default text style, Signature, Vacation responder; nhãn rõ ràng, không bị cắt.</t>
  </si>
  <si>
    <t>Automated – script Katalon TC_GMAIL_02_VIS_03</t>
  </si>
  <si>
    <t>Đang ở Settings &gt; tab General.</t>
  </si>
  <si>
    <t>1. Cuộn đến mục Default text style.
2. Quan sát dòng xem trước và các nút chọn font/cỡ chữ.</t>
  </si>
  <si>
    <t>Hiển thị dòng xem trước 'This is what your body text will look like.' cùng các nút định dạng văn bản mặc định.</t>
  </si>
  <si>
    <t>Automated – script Katalon TC_GMAIL_02_VIS_04</t>
  </si>
  <si>
    <t>1. Cuộn xuống cuối trang General.
2. Quan sát các nút ở cuối trang.</t>
  </si>
  <si>
    <t>Cuối trang hiển thị nút 'Save Changes' và 'Cancel' rõ ràng, dễ nhận biết.</t>
  </si>
  <si>
    <t>Automated – script Katalon TC_GMAIL_02_VIS_05</t>
  </si>
  <si>
    <t>Đang ở Settings &gt; tab General. Đã có 1 chữ ký để chỉnh sửa.</t>
  </si>
  <si>
    <t>1. Dán chữ ký có tổng độ dài ≈ 5.000 ký tự &gt; Save Changes.
2. Thay bằng chữ ký ≈ 10.000 ký tự &gt; Save Changes.
3. Thay bằng chữ ký ≈ 10.500 ký tự &gt; Save Changes.</t>
  </si>
  <si>
    <t>Chữ ký ≈ 5.000 / 10.000 / 10.500 ký tự (tính cả mã HTML)</t>
  </si>
  <si>
    <t>Chữ ký có độ dài trong giới hạn được lưu thành công; chữ ký vượt 10.000 ký tự bị báo lỗi chữ ký quá dài và không được lưu.</t>
  </si>
  <si>
    <t>Manual – Nhập chuỗi ≈10.000 ký tự vào ô soạn chữ ký không ổn định qua Katalon</t>
  </si>
  <si>
    <t>1. Click 'Create new'.
2. Để trống ô 'Name new signature'.
3. Bấm 'Create'.</t>
  </si>
  <si>
    <t>Tên chữ ký: [Rỗng]</t>
  </si>
  <si>
    <t>Hệ thống không tạo chữ ký có tên rỗng (hộp thoại vẫn còn hoặc hiển thị lỗi).</t>
  </si>
  <si>
    <t>Automated – script Katalon TC_GMAIL_02_VAL_02</t>
  </si>
  <si>
    <t>1. Mở dropdown 'Maximum page size'.
2. Quan sát các giá trị.</t>
  </si>
  <si>
    <t>Chỉ gồm các giá trị 10, 15, 20, 25, 50, 100 hội thoại/trang; không cho nhập giá trị tự do.</t>
  </si>
  <si>
    <t>Automated – script Katalon TC_GMAIL_02_VAL_03</t>
  </si>
  <si>
    <t>1. Mở dropdown 'Send cancellation period'.
2. Quan sát các giá trị.</t>
  </si>
  <si>
    <t>Chỉ gồm các giá trị 5, 10, 20, 30 giây.</t>
  </si>
  <si>
    <t>Automated – script Katalon TC_GMAIL_02_VAL_04</t>
  </si>
  <si>
    <t>Đang ở Settings &gt; tab General. Đã có chữ ký 'ASM7_Test'.</t>
  </si>
  <si>
    <t>1. Chọn chữ ký 'ASM7_Test'.
2. Nhập nội dung chữ ký.
3. Save Changes.
4. Tải lại trang và mở lại chữ ký.</t>
  </si>
  <si>
    <t>Nguyễn Văn A | Công ty ABC &amp; Co.</t>
  </si>
  <si>
    <t>Chữ ký lưu thành công và hiển thị nguyên văn tiếng Việt có dấu, ký tự '&amp;', không lỗi font/mã hóa.</t>
  </si>
  <si>
    <t>Automated – script Katalon TC_GMAIL_02_VAL_05</t>
  </si>
  <si>
    <t>1. Click 'Create new'.
2. Nhập tên 'ASM7_Test', bấm Create.
3. Nhập nội dung chữ ký.
4. Bấm Save Changes.</t>
  </si>
  <si>
    <t>Tên: ASM7_Test; Nội dung: ASM7 signature - Truong Phuc Nen</t>
  </si>
  <si>
    <t>Lưu thành công; chữ ký 'ASM7_Test' có trong danh sách chữ ký (kể cả sau khi tải lại trang).</t>
  </si>
  <si>
    <t>Automated – script Katalon TC_GMAIL_02_FUN_01</t>
  </si>
  <si>
    <t>Đã có chữ ký 'ASM7_Test'.</t>
  </si>
  <si>
    <t>1. Chọn chữ ký 'ASM7_Test'.
2. Đổi nội dung chữ ký.
3. Save Changes.
4. Tải lại trang, mở lại chữ ký.</t>
  </si>
  <si>
    <t>Nội dung mới: ASM7 edited signature</t>
  </si>
  <si>
    <t>Nội dung chữ ký được cập nhật và giữ nguyên sau khi tải lại.</t>
  </si>
  <si>
    <t>Automated – script Katalon TC_GMAIL_02_FUN_02</t>
  </si>
  <si>
    <t>1. Tại 'Signature defaults', chọn For new emails use = ASM7_Test.
2. Save Changes.
3. Click Compose.</t>
  </si>
  <si>
    <t>For new emails use: ASM7_Test</t>
  </si>
  <si>
    <t>Thư mới tự động chèn chữ ký 'ASM7_Test' ngay khi mở cửa sổ soạn.</t>
  </si>
  <si>
    <t>Automated – script Katalon TC_GMAIL_02_FUN_03</t>
  </si>
  <si>
    <t>Có 2 chữ ký; Inbox có 1 email để trả lời.</t>
  </si>
  <si>
    <t>1. Chọn On reply/forward use = chữ ký thứ hai &gt; Save Changes.
2. Mở 1 email, bấm Reply.
3. Quan sát chữ ký.</t>
  </si>
  <si>
    <t>On reply/forward use: chữ ký thứ hai</t>
  </si>
  <si>
    <t>Khung trả lời chèn đúng chữ ký đã chọn cho Reply/Forward, khác chữ ký của thư mới.</t>
  </si>
  <si>
    <t>Manual – Cần email trong Inbox và chữ ký thứ hai; thao tác Reply nhiều bước</t>
  </si>
  <si>
    <t>Có ít nhất 2 chữ ký.</t>
  </si>
  <si>
    <t>1. Click Compose.
2. Click icon 'Insert signature' (hình cây bút) &gt; chọn một chữ ký khác.</t>
  </si>
  <si>
    <t>Chữ ký được chèn/thay thế ở cuối thư, không bị nhân đôi.</t>
  </si>
  <si>
    <t>Manual – Menu 'Insert signature' trong Compose khó định vị ổn định</t>
  </si>
  <si>
    <t>1. Chọn chữ ký, bôi đen một đoạn, bấm Bold và đổi màu chữ.
2. Chèn link cho một đoạn chữ.
3. Save Changes, mở Compose.</t>
  </si>
  <si>
    <t>Link: https://www.example.com</t>
  </si>
  <si>
    <t>Chữ ký trong Compose giữ đúng định dạng đậm, màu chữ và link trỏ đúng URL.</t>
  </si>
  <si>
    <t>Manual – Định dạng đậm/màu/link trong editor cần thao tác chuột/bàn phím phức tạp</t>
  </si>
  <si>
    <t>Đã có chữ ký 'ASM7_Test'; máy có file logo.png nhỏ.</t>
  </si>
  <si>
    <t>1. Chọn chữ ký, click icon 'Insert image'.
2. Tab Upload &gt; chọn logo.png &gt; Select.
3. Save Changes, mở Compose.</t>
  </si>
  <si>
    <t>File: logo.png</t>
  </si>
  <si>
    <t>Ảnh hiển thị trong chữ ký ở Settings và trong Compose.</t>
  </si>
  <si>
    <t>Manual – Upload file ảnh từ máy không hỗ trợ qua Katalon Recorder</t>
  </si>
  <si>
    <t>Inbox có nhiều hơn 25 email.</t>
  </si>
  <si>
    <t>1. Chọn Maximum page size = 'Show 25 conversations per page'.
2. Save Changes.
3. Quan sát Hộp thư đến.</t>
  </si>
  <si>
    <t>Page size: 25</t>
  </si>
  <si>
    <t>Mỗi trang Hộp thư đến hiển thị tối đa 25 hội thoại.</t>
  </si>
  <si>
    <t>Automated – script Katalon TC_GMAIL_02_FUN_08</t>
  </si>
  <si>
    <t>1. Chọn Send cancellation period = 30.
2. Save Changes.
3. Tải lại trang, mở lại mục Undo Send.</t>
  </si>
  <si>
    <t>Cancellation period: 30</t>
  </si>
  <si>
    <t>Giá trị 30 giây được lưu và vẫn được chọn sau khi tải lại trang.</t>
  </si>
  <si>
    <t>Automated – script Katalon TC_GMAIL_02_FUN_09</t>
  </si>
  <si>
    <t>1. Chọn chữ ký 'ASM7_Test', click icon Delete.
2. Xác nhận xóa.
3. Save Changes, tải lại trang.</t>
  </si>
  <si>
    <t>Chữ ký bị xóa khỏi danh sách và không còn được chèn vào thư mới.</t>
  </si>
  <si>
    <t>Automated – script Katalon TC_GMAIL_02_FUN_10</t>
  </si>
  <si>
    <t>Đã đăng nhập Gmail trên trình duyệt.</t>
  </si>
  <si>
    <t>1. Dán URL vào thanh địa chỉ và Enter.</t>
  </si>
  <si>
    <t>https://mail.google.com/mail/u/0/#settings/general</t>
  </si>
  <si>
    <t>Mở trực tiếp Settings, tab General, hiển thị mục Signature.</t>
  </si>
  <si>
    <t>Automated – script Katalon TC_GMAIL_02_NAV_01</t>
  </si>
  <si>
    <t>1. Sửa nội dung chữ ký.
2. Bấm 'Cancel' ở cuối trang.
3. Mở lại Settings &gt; Signature.</t>
  </si>
  <si>
    <t>Nội dung sửa: cancel test</t>
  </si>
  <si>
    <t>Thay đổi không được lưu; chữ ký giữ nguyên nội dung cũ.</t>
  </si>
  <si>
    <t>Automated – script Katalon TC_GMAIL_02_NAV_02</t>
  </si>
  <si>
    <t>Đang ở Hộp thư đến.</t>
  </si>
  <si>
    <t>1. Click Compose.
2. Click icon 'Insert signature'.
3. Chọn 'Manage signatures'.</t>
  </si>
  <si>
    <t>Mở trang Settings tại mục Signature; nội dung đang soạn không bị mất (nằm trong Drafts).</t>
  </si>
  <si>
    <t>Đã đặt 'ASM7_Test' làm chữ ký mặc định cho thư mới.</t>
  </si>
  <si>
    <t>1. Tải lại trang Settings.
2. Quan sát 'For new emails use'.</t>
  </si>
  <si>
    <t>'For new emails use' vẫn là 'ASM7_Test' sau khi tải lại.</t>
  </si>
  <si>
    <t>Automated – script Katalon TC_GMAIL_02_NAV_04</t>
  </si>
  <si>
    <t>Đã sửa nội dung chữ ký nhưng chưa lưu.</t>
  </si>
  <si>
    <t>1. Tắt mạng (DevTools &gt; Network &gt; Offline).
2. Bấm Save Changes.
3. Bật mạng lại và bấm Save Changes lần nữa.</t>
  </si>
  <si>
    <t>Network: Offline -&gt; Online</t>
  </si>
  <si>
    <t>Khi offline thay đổi không được lưu và có thông báo lỗi kết nối; khi có mạng lại, lưu thành công.</t>
  </si>
  <si>
    <t>Manual – Cần tắt mạng bằng DevTools, Katalon không điều khiển được</t>
  </si>
  <si>
    <t>DANH SÁCH TEST CASES CHI TIẾT - CHỨC NĂNG 3: VACATION RESPONDER &amp; TEMPLATES</t>
  </si>
  <si>
    <t>1. Mở Settings &gt; tab General.
2. Cuộn xuống mục Vacation responder.</t>
  </si>
  <si>
    <t>Hiển thị các lựa chọn 'Vacation responder off/on', ô First day, Last day, Subject, Message và checkbox 'Only send a response to people in my Contacts'.</t>
  </si>
  <si>
    <t>Automated – script Katalon TC_GMAIL_03_VIS_01</t>
  </si>
  <si>
    <t>Đang ở Settings &gt; tab General. Đã chọn 'Vacation responder on'.</t>
  </si>
  <si>
    <t>1. Click vào ô 'First day'.
2. Quan sát lịch và chọn 1 ngày.</t>
  </si>
  <si>
    <t>Lịch (date picker) xuất hiện, ngày hôm nay được làm nổi bật; chọn ngày thì giá trị được điền vào ô.</t>
  </si>
  <si>
    <t>Manual – Date picker khó định vị ổn định; kiểm bằng mắt</t>
  </si>
  <si>
    <t>Vacation responder đã bật và lưu thành công.</t>
  </si>
  <si>
    <t>1. Quay về Hộp thư đến.
2. Quan sát phía trên danh sách thư.</t>
  </si>
  <si>
    <t>Banner hiển thị chủ đề (Subject) của vacation responder và liên kết 'End now'.</t>
  </si>
  <si>
    <t>Automated – script Katalon TC_GMAIL_03_VIS_03</t>
  </si>
  <si>
    <t>1. Mở Settings &gt; tab Advanced.
2. Quan sát mục Templates.</t>
  </si>
  <si>
    <t>Mục Templates có 2 lựa chọn 'Disable' và 'Enable' cùng mô tả; có nút 'Save Changes'.</t>
  </si>
  <si>
    <t>Automated – script Katalon TC_GMAIL_03_VIS_04</t>
  </si>
  <si>
    <t>Đã Enable Templates ở tab Advanced.</t>
  </si>
  <si>
    <t>1. Click Compose.
2. Click 'More options' (dấu ba chấm) ở thanh dưới cửa sổ soạn.</t>
  </si>
  <si>
    <t>Menu hiển thị mục 'Templates'; khi mở ra có các lựa chọn Insert template, Save draft as template, Delete template.</t>
  </si>
  <si>
    <t>Automated – script Katalon TC_GMAIL_03_VIS_05</t>
  </si>
  <si>
    <t>1. Nhập First day.
2. Tích 'Last day' và nhập ngày sớm hơn First day.
3. Nhập Subject, Message.
4. Save Changes.</t>
  </si>
  <si>
    <t>First day: 10/25/2026; Last day: 10/20/2026 (định dạng mm/dd/yyyy)</t>
  </si>
  <si>
    <t>Hệ thống báo lỗi ngày không hợp lệ và không lưu cấu hình.</t>
  </si>
  <si>
    <t>Manual – Nhập ngày vào ô First/Last day cần xác nhận locator thật; thực hiện thủ công</t>
  </si>
  <si>
    <t>1. Chọn 'Vacation responder on'.
2. Không tích 'Last day'.
3. Nhập Subject, Message.
4. Save Changes.</t>
  </si>
  <si>
    <t>Last day: [Không chọn]</t>
  </si>
  <si>
    <t>Lưu thành công; responder chạy cho đến khi người dùng tắt thủ công (banner hiển thị trong Inbox).</t>
  </si>
  <si>
    <t>Automated – script Katalon TC_GMAIL_03_VAL_02</t>
  </si>
  <si>
    <t>1. Nhập First day, Subject.
2. Để trống ô Message.
3. Save Changes.</t>
  </si>
  <si>
    <t>Message: [Rỗng]</t>
  </si>
  <si>
    <t>Hệ thống báo lỗi yêu cầu nhập nội dung thư và không bật responder.</t>
  </si>
  <si>
    <t>Manual – Thông báo lỗi khi Message rỗng cần xác nhận hành vi thực tế của Gmail</t>
  </si>
  <si>
    <t>1. Gõ chuỗi sai định dạng vào ô First day.
2. Nhập Subject, Message.
3. Save Changes.</t>
  </si>
  <si>
    <t>First day: 99/99/9999</t>
  </si>
  <si>
    <t>Hệ thống không chấp nhận ngày không hợp lệ và không lưu cấu hình.</t>
  </si>
  <si>
    <t>Manual – Nhập ngày sai định dạng cần xác nhận locator thật; thực hiện thủ công</t>
  </si>
  <si>
    <t>1. Chọn 'Vacation responder on'.
2. Nhập Subject.
3. Save Changes.
4. Tải lại Settings, kiểm tra ô Subject.</t>
  </si>
  <si>
    <t>Subject: Tôi đang nghỉ phép 🌴</t>
  </si>
  <si>
    <t>Subject được lưu và hiển thị lại nguyên văn tiếng Việt có dấu và emoji, không lỗi mã hóa.</t>
  </si>
  <si>
    <t>Automated – script Katalon TC_GMAIL_03_VAL_05</t>
  </si>
  <si>
    <t>1. Chọn 'Vacation responder on'.
2. Nhập Subject, Message.
3. Save Changes.
4. Quan sát Hộp thư đến.</t>
  </si>
  <si>
    <t>Subject: ASM7 Out of office; Message: Toi dang nghi phep, se phan hoi sau.</t>
  </si>
  <si>
    <t>Lưu thành công; banner kèm liên kết 'End now' hiển thị trong Hộp thư đến.</t>
  </si>
  <si>
    <t>Automated – script Katalon TC_GMAIL_03_FUN_01</t>
  </si>
  <si>
    <t>Responder đang on; có tài khoản B chưa gửi thư cho A trong 4 ngày qua.</t>
  </si>
  <si>
    <t>1. Từ tài khoản B gửi thư đến tài khoản A.
2. Chờ vài phút.
3. Mở Inbox tài khoản B.</t>
  </si>
  <si>
    <t>Tài khoản B -&gt; A</t>
  </si>
  <si>
    <t>B nhận được thư tự động từ A với đúng Subject và nội dung đã cấu hình.</t>
  </si>
  <si>
    <t>Manual – Cần tài khoản thứ hai gửi thư và chờ thư tự động</t>
  </si>
  <si>
    <t>Tài khoản B đã nhận auto-reply từ A.</t>
  </si>
  <si>
    <t>1. Từ B gửi thêm 1 thư đến A.
2. Chờ vài phút.
3. Kiểm tra Inbox của B.</t>
  </si>
  <si>
    <t>Tài khoản B -&gt; A (lần 2)</t>
  </si>
  <si>
    <t>B không nhận thêm thư tự động (Gmail chỉ trả lời một lần cho mỗi người gửi trong khoảng 4 ngày).</t>
  </si>
  <si>
    <t>C có trong Contacts của A, D không có; responder đang on.</t>
  </si>
  <si>
    <t>1. Tích 'Only send a response to people in my Contacts' &gt; Save Changes.
2. Từ C và D lần lượt gửi thư đến A.
3. Kiểm tra Inbox của C và D.</t>
  </si>
  <si>
    <t>C: trong Contacts; D: ngoài Contacts</t>
  </si>
  <si>
    <t>C nhận được thư tự động; D không nhận được.</t>
  </si>
  <si>
    <t>Manual – Cần 2 tài khoản người gửi (trong/ngoài Contacts)</t>
  </si>
  <si>
    <t>Templates đã Enable; đã có template 'ASM7_Template'.</t>
  </si>
  <si>
    <t>1. Click Compose.
2. More options &gt; Templates &gt; Insert template.
3. Chọn 'ASM7_Template'.</t>
  </si>
  <si>
    <t>Template: ASM7_Template</t>
  </si>
  <si>
    <t>Nội dung template được chèn vào thân thư và có thể tiếp tục chỉnh sửa.</t>
  </si>
  <si>
    <t>Automated – script Katalon TC_GMAIL_03_FUN_05</t>
  </si>
  <si>
    <t>Responder đang on.</t>
  </si>
  <si>
    <t>1. Settings &gt; General &gt; chọn 'Vacation responder off'.
2. Save Changes.
3. Quan sát Hộp thư đến.</t>
  </si>
  <si>
    <t>Vacation responder: off</t>
  </si>
  <si>
    <t>Banner 'End now' biến mất khỏi Hộp thư đến; responder ngừng hoạt động.</t>
  </si>
  <si>
    <t>Automated – script Katalon TC_GMAIL_03_FUN_06</t>
  </si>
  <si>
    <t>Responder đang on, banner hiển thị trong Inbox.</t>
  </si>
  <si>
    <t>1. Click liên kết 'End now' trên banner.
2. Quan sát Hộp thư đến.</t>
  </si>
  <si>
    <t>Banner biến mất; responder được tắt.</t>
  </si>
  <si>
    <t>Automated – script Katalon TC_GMAIL_03_FUN_07</t>
  </si>
  <si>
    <t>1. Đổi Subject.
2. Save Changes.
3. Tải lại Settings, kiểm tra ô Subject.</t>
  </si>
  <si>
    <t>Subject mới: ASM7 Out of office updated</t>
  </si>
  <si>
    <t>Subject mới được lưu và hiển thị lại sau khi tải lại trang.</t>
  </si>
  <si>
    <t>Automated – script Katalon TC_GMAIL_03_FUN_08</t>
  </si>
  <si>
    <t>Templates đang ở trạng thái Disable.</t>
  </si>
  <si>
    <t>1. Settings &gt; tab Advanced &gt; Templates &gt; chọn 'Enable'.
2. Save Changes.
3. Click Compose &gt; More options.</t>
  </si>
  <si>
    <t>Templates: Enable</t>
  </si>
  <si>
    <t>Sau khi lưu, menu More options trong Compose có mục 'Templates'.</t>
  </si>
  <si>
    <t>Automated – script Katalon TC_GMAIL_03_FUN_09</t>
  </si>
  <si>
    <t>Templates đã Enable.</t>
  </si>
  <si>
    <t>1. Click Compose, nhập Subject và nội dung.
2. More options &gt; Templates &gt; Save draft as template &gt; Save as new template.
3. Đặt tên template, bấm Save.</t>
  </si>
  <si>
    <t>Tên: ASM7_Template; Nội dung: ASM7 template body</t>
  </si>
  <si>
    <t>Template được lưu và xuất hiện trong Templates &gt; Insert template.</t>
  </si>
  <si>
    <t>Automated – script Katalon TC_GMAIL_03_FUN_10</t>
  </si>
  <si>
    <t>1. Mở URL Settings &gt; General.
2. Mở URL Settings &gt; Advanced.</t>
  </si>
  <si>
    <t>#settings/general và #settings/advanced</t>
  </si>
  <si>
    <t>Mỗi URL mở đúng tab tương ứng: General có Vacation responder, Advanced có Templates.</t>
  </si>
  <si>
    <t>Automated – script Katalon TC_GMAIL_03_NAV_01</t>
  </si>
  <si>
    <t>Vacation responder đã bật và lưu.</t>
  </si>
  <si>
    <t>1. Tải lại trang Settings.
2. Quan sát mục Vacation responder.</t>
  </si>
  <si>
    <t>Responder vẫn 'on' với Subject và Message đã lưu.</t>
  </si>
  <si>
    <t>Automated – script Katalon TC_GMAIL_03_NAV_02</t>
  </si>
  <si>
    <t>Templates đang Enable.</t>
  </si>
  <si>
    <t>1. Settings &gt; Advanced &gt; Templates = Disable &gt; Save Changes; mở Compose &gt; More options.
2. Enable lại &gt; Save Changes; mở Compose &gt; More options.</t>
  </si>
  <si>
    <t>Templates: Disable -&gt; Enable</t>
  </si>
  <si>
    <t>Khi Disable, mục Templates biến mất khỏi menu Compose; khi Enable lại, mục Templates xuất hiện trở lại.</t>
  </si>
  <si>
    <t>Automated – script Katalon TC_GMAIL_03_NAV_03</t>
  </si>
  <si>
    <t>1. Click Compose.
2. Chuyển sang Full-screen (hoặc Pop-out).
3. More options &gt; Templates.</t>
  </si>
  <si>
    <t>Menu Templates vẫn khả dụng giống cửa sổ soạn thông thường.</t>
  </si>
  <si>
    <t>Manual – Chế độ Full-screen/Pop-out khó điều khiển qua Katalon</t>
  </si>
  <si>
    <t>Đã nhập Subject và Message nhưng chưa lưu.</t>
  </si>
  <si>
    <t>1. Tắt mạng (DevTools &gt; Network &gt; Offline).
2. Bấm Save Changes.
3. Bật mạng lại và Save Changes lần nữa.</t>
  </si>
  <si>
    <t>Khi offline cấu hình không được lưu và có thông báo lỗi kết nối; khi có mạng lại, lưu thành công.</t>
  </si>
  <si>
    <t>BÁO CÁO TỔNG KẾT THIẾT KẾ &amp; THỰC THI TEST CASE - CHỨC NĂNG 1, 2 &amp; 3</t>
  </si>
  <si>
    <t>Số Lượng Test Cases</t>
  </si>
  <si>
    <t>Tỷ Lệ (%)</t>
  </si>
  <si>
    <t>Mô Tả Khía Cạnh Kiểm Thử</t>
  </si>
  <si>
    <t>Visual / GUI</t>
  </si>
  <si>
    <t>Hiển thị lựa chọn Density, Inbox type, Reading pane và bố cục danh sách thư</t>
  </si>
  <si>
    <t>Mức Density hợp lệ, biên mật độ, trạng thái đơn nhất, tùy chọn không khả dụng</t>
  </si>
  <si>
    <t>Đổi Density, Inbox type; bật/tắt và đổi vị trí Reading pane</t>
  </si>
  <si>
    <t>Duy trì cấu hình sau reload/mở lại Gmail</t>
  </si>
  <si>
    <t>Thay đổi nhiều cài đặt liên tiếp mà Inbox vẫn dùng được</t>
  </si>
  <si>
    <t>TỔNG CỘNG</t>
  </si>
  <si>
    <t>Toàn bộ Chức năng 1</t>
  </si>
  <si>
    <t>25 test case được thiết kế đủ 5 nhóm kịch bản</t>
  </si>
  <si>
    <t>Giao diện mục Signature, tab General, Default text style, nút Save/Cancel</t>
  </si>
  <si>
    <t>Giới hạn 10.000 ký tự, tên rỗng, danh sách giá trị cố định, Unicode</t>
  </si>
  <si>
    <t>Tạo/sửa/xóa chữ ký, chữ ký mặc định, Reply/Forward, page size, Undo Send</t>
  </si>
  <si>
    <t>Truy cập bằng URL, Cancel, Manage signatures, giữ cấu hình sau reload</t>
  </si>
  <si>
    <t>Mất kết nối mạng khi bấm Save Changes</t>
  </si>
  <si>
    <t>Toàn bộ Chức năng 2</t>
  </si>
  <si>
    <t>Form Vacation responder, date picker, banner, mục Templates và menu Templates</t>
  </si>
  <si>
    <t>Ngày bắt đầu/kết thúc, Message rỗng, sai định dạng ngày, Unicode</t>
  </si>
  <si>
    <t>Bật/tắt responder, auto-reply, giới hạn Contacts, End now; bật/lưu/chèn template</t>
  </si>
  <si>
    <t>Chuyển tab General/Advanced, giữ cấu hình, bật/tắt lại Templates, Compose toàn màn hình</t>
  </si>
  <si>
    <t>Mất kết nối mạng khi lưu Vacation responder</t>
  </si>
  <si>
    <t>Toàn bộ Chức năng 3</t>
  </si>
  <si>
    <t>KẾT QUẢ THỰC THI (TỰ ĐỘNG CẬP NHẬT TỪ CỘT 'KẾT QUẢ (PASS/FAIL)' CỦA CÁC SHEET TC)</t>
  </si>
  <si>
    <t>Chức Năng</t>
  </si>
  <si>
    <t>Pass</t>
  </si>
  <si>
    <t>Fail</t>
  </si>
  <si>
    <t>Blocked</t>
  </si>
  <si>
    <t>Tổng</t>
  </si>
  <si>
    <t>Tỷ lệ Pass</t>
  </si>
  <si>
    <t>Chức năng 1</t>
  </si>
  <si>
    <t>Chức năng 2</t>
  </si>
  <si>
    <t>Chức năng 3</t>
  </si>
  <si>
    <t>ĐỘ PHỦ AUTOMATION (KATALON RECORDER – FILE ASM7)</t>
  </si>
  <si>
    <t>Có script Katalon</t>
  </si>
  <si>
    <t>Thực hiện thủ công</t>
  </si>
  <si>
    <t>Tỷ lệ tự động hóa</t>
  </si>
  <si>
    <t>Lưu ý: Cột 'Kết Quả (Pass/Fail)' mặc định là Untested; cập nhật sau mỗi lần chạy script Katalon / kiểm thử thủ công thì các bảng trên tự tính lại.</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</si>
</sst>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0.0%"/>
    <numFmt numFmtId="177" formatCode="dd/mm/yyyy"/>
  </numFmts>
  <fonts count="29">
    <font>
      <sz val="11"/>
      <color theme="1"/>
      <name val="Calibri"/>
      <charset val="1"/>
    </font>
    <font>
      <b/>
      <sz val="16"/>
      <color rgb="FF1F4E78"/>
      <name val="Calibri"/>
      <charset val="1"/>
    </font>
    <font>
      <b/>
      <sz val="13"/>
      <color rgb="FF1F4E78"/>
      <name val="Calibri"/>
      <charset val="1"/>
    </font>
    <font>
      <b/>
      <sz val="11"/>
      <color rgb="FFFFFFFF"/>
      <name val="Calibri"/>
      <charset val="1"/>
    </font>
    <font>
      <sz val="10"/>
      <name val="Calibri"/>
      <charset val="1"/>
    </font>
    <font>
      <b/>
      <sz val="11"/>
      <name val="Calibri"/>
      <charset val="1"/>
    </font>
    <font>
      <b/>
      <sz val="10"/>
      <name val="Calibri"/>
      <charset val="1"/>
    </font>
    <font>
      <b/>
      <sz val="11"/>
      <color rgb="FF1F4E78"/>
      <name val="Calibri"/>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rgb="FF1F4E78"/>
        <bgColor rgb="FF003366"/>
      </patternFill>
    </fill>
    <fill>
      <patternFill patternType="solid">
        <fgColor rgb="FFD9E1F2"/>
        <bgColor rgb="FFDDEBF7"/>
      </patternFill>
    </fill>
    <fill>
      <patternFill patternType="solid">
        <fgColor rgb="FFFFF2CC"/>
        <bgColor rgb="FFFCE4D6"/>
      </patternFill>
    </fill>
    <fill>
      <patternFill patternType="solid">
        <fgColor rgb="FFFCE4D6"/>
        <bgColor rgb="FFFFF2CC"/>
      </patternFill>
    </fill>
    <fill>
      <patternFill patternType="solid">
        <fgColor rgb="FFE2EFDA"/>
        <bgColor rgb="FFEDEDED"/>
      </patternFill>
    </fill>
    <fill>
      <patternFill patternType="solid">
        <fgColor rgb="FFEDEDED"/>
        <bgColor rgb="FFE2EFDA"/>
      </patternFill>
    </fill>
    <fill>
      <patternFill patternType="solid">
        <fgColor rgb="FFDDEBF7"/>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8" fillId="0" borderId="0" applyBorder="0" applyAlignment="0" applyProtection="0"/>
    <xf numFmtId="44" fontId="8" fillId="0" borderId="0" applyBorder="0" applyAlignment="0" applyProtection="0"/>
    <xf numFmtId="9" fontId="8" fillId="0" borderId="0" applyBorder="0" applyAlignment="0" applyProtection="0"/>
    <xf numFmtId="41" fontId="8" fillId="0" borderId="0" applyBorder="0" applyAlignment="0" applyProtection="0"/>
    <xf numFmtId="42" fontId="8" fillId="0" borderId="0" applyBorder="0" applyAlignment="0" applyProtection="0"/>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9"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10" borderId="5" applyNumberFormat="0" applyAlignment="0" applyProtection="0">
      <alignment vertical="center"/>
    </xf>
    <xf numFmtId="0" fontId="19" fillId="11" borderId="6" applyNumberFormat="0" applyAlignment="0" applyProtection="0">
      <alignment vertical="center"/>
    </xf>
    <xf numFmtId="0" fontId="20" fillId="11" borderId="5" applyNumberFormat="0" applyAlignment="0" applyProtection="0">
      <alignment vertical="center"/>
    </xf>
    <xf numFmtId="0" fontId="21" fillId="12"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xf numFmtId="0" fontId="27" fillId="36" borderId="0" applyNumberFormat="0" applyBorder="0" applyAlignment="0" applyProtection="0">
      <alignment vertical="center"/>
    </xf>
    <xf numFmtId="0" fontId="28" fillId="37" borderId="0" applyNumberFormat="0" applyBorder="0" applyAlignment="0" applyProtection="0">
      <alignment vertical="center"/>
    </xf>
    <xf numFmtId="0" fontId="28" fillId="38" borderId="0" applyNumberFormat="0" applyBorder="0" applyAlignment="0" applyProtection="0">
      <alignment vertical="center"/>
    </xf>
    <xf numFmtId="0" fontId="27" fillId="39"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176" fontId="4" fillId="0" borderId="1" xfId="0" applyNumberFormat="1" applyFont="1" applyBorder="1" applyAlignment="1">
      <alignment horizontal="center" vertical="center" wrapText="1"/>
    </xf>
    <xf numFmtId="0" fontId="5"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176" fontId="5" fillId="3" borderId="1" xfId="0" applyNumberFormat="1" applyFont="1" applyFill="1" applyBorder="1" applyAlignment="1">
      <alignment horizontal="center" vertical="center" wrapText="1"/>
    </xf>
    <xf numFmtId="0" fontId="6" fillId="0" borderId="0" xfId="0" applyFont="1" applyBorder="1" applyAlignment="1">
      <alignment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7" fillId="0" borderId="0" xfId="0" applyFont="1"/>
    <xf numFmtId="0" fontId="5" fillId="0" borderId="0" xfId="0" applyFont="1" applyAlignment="1">
      <alignment vertical="center" wrapText="1"/>
    </xf>
    <xf numFmtId="0" fontId="4" fillId="0" borderId="0" xfId="0" applyFont="1" applyAlignment="1">
      <alignment vertical="center" wrapText="1"/>
    </xf>
    <xf numFmtId="177" fontId="4" fillId="0" borderId="1" xfId="0" applyNumberFormat="1" applyFont="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0">
    <dxf>
      <fill>
        <patternFill patternType="solid">
          <bgColor rgb="FFC6EFCE"/>
        </patternFill>
      </fill>
    </dxf>
    <dxf>
      <fill>
        <patternFill patternType="solid">
          <bgColor rgb="FFFFC7CE"/>
        </patternFill>
      </fill>
    </dxf>
    <dxf>
      <fill>
        <patternFill patternType="solid">
          <bgColor rgb="FFFFEB9C"/>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9E1F2"/>
      <rgbColor rgb="00808080"/>
      <rgbColor rgb="009999FF"/>
      <rgbColor rgb="00993366"/>
      <rgbColor rgb="00FFF2CC"/>
      <rgbColor rgb="00DDEBF7"/>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E2EFDA"/>
      <rgbColor rgb="00C6EFCE"/>
      <rgbColor rgb="00FFEB9C"/>
      <rgbColor rgb="00EDEDED"/>
      <rgbColor rgb="00FCE4D6"/>
      <rgbColor rgb="00CC99FF"/>
      <rgbColor rgb="00FFC7CE"/>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E18"/>
  <sheetViews>
    <sheetView showGridLines="0" tabSelected="1" workbookViewId="0">
      <selection activeCell="D18" sqref="D18"/>
    </sheetView>
  </sheetViews>
  <sheetFormatPr defaultColWidth="8.67619047619048" defaultRowHeight="15" outlineLevelCol="4"/>
  <cols>
    <col min="1" max="1" width="12" customWidth="1"/>
    <col min="2" max="2" width="30" customWidth="1"/>
    <col min="3" max="3" width="78" customWidth="1"/>
    <col min="4" max="4" width="60" customWidth="1"/>
    <col min="5" max="5" width="20" customWidth="1"/>
  </cols>
  <sheetData>
    <row r="2" ht="21.75" customHeight="1" spans="2:5">
      <c r="B2" s="1" t="s">
        <v>0</v>
      </c>
    </row>
    <row r="3" ht="17.25" spans="2:5">
      <c r="B3" s="2" t="s">
        <v>1</v>
      </c>
    </row>
    <row r="5" ht="19.5" customHeight="1" spans="2:5">
      <c r="B5" s="17" t="s">
        <v>2</v>
      </c>
      <c r="C5" s="18" t="s">
        <v>3</v>
      </c>
    </row>
    <row r="6" ht="19.5" customHeight="1" spans="2:5">
      <c r="B6" s="17" t="s">
        <v>4</v>
      </c>
      <c r="C6" s="18" t="s">
        <v>5</v>
      </c>
    </row>
    <row r="7" ht="19.5" customHeight="1" spans="2:5">
      <c r="B7" s="17" t="s">
        <v>6</v>
      </c>
      <c r="C7" s="18" t="s">
        <v>7</v>
      </c>
    </row>
    <row r="8" ht="19.5" customHeight="1" spans="2:5">
      <c r="B8" s="17" t="s">
        <v>8</v>
      </c>
      <c r="C8" s="18" t="s">
        <v>9</v>
      </c>
    </row>
    <row r="9" ht="19.5" customHeight="1" spans="2:5">
      <c r="B9" s="17" t="s">
        <v>10</v>
      </c>
      <c r="C9" s="18" t="s">
        <v>11</v>
      </c>
    </row>
    <row r="10" ht="45.75" customHeight="1" spans="2:5">
      <c r="B10" s="17" t="s">
        <v>12</v>
      </c>
      <c r="C10" s="18" t="s">
        <v>13</v>
      </c>
    </row>
    <row r="11" ht="19.5" customHeight="1" spans="2:5">
      <c r="B11" s="17" t="s">
        <v>14</v>
      </c>
      <c r="C11" s="18" t="s">
        <v>15</v>
      </c>
    </row>
    <row r="12" ht="19.5" customHeight="1" spans="2:5">
      <c r="B12" s="17" t="s">
        <v>16</v>
      </c>
      <c r="C12" s="18" t="s">
        <v>17</v>
      </c>
    </row>
    <row r="13" ht="19.5" customHeight="1" spans="2:5">
      <c r="B13" s="17" t="s">
        <v>18</v>
      </c>
      <c r="C13" s="18" t="s">
        <v>19</v>
      </c>
    </row>
    <row r="15" ht="17.25" spans="2:5">
      <c r="B15" s="2" t="s">
        <v>20</v>
      </c>
    </row>
    <row r="16" ht="30" customHeight="1" spans="2:5">
      <c r="B16" s="3" t="s">
        <v>21</v>
      </c>
      <c r="C16" s="3" t="s">
        <v>22</v>
      </c>
      <c r="D16" s="3" t="s">
        <v>23</v>
      </c>
      <c r="E16" s="3" t="s">
        <v>24</v>
      </c>
    </row>
    <row r="17" ht="33" customHeight="1" spans="2:5">
      <c r="B17" s="4" t="s">
        <v>25</v>
      </c>
      <c r="C17" s="19">
        <v>46318</v>
      </c>
      <c r="D17" s="5" t="s">
        <v>26</v>
      </c>
      <c r="E17" s="4" t="s">
        <v>7</v>
      </c>
    </row>
    <row r="18" ht="46.5" customHeight="1" spans="2:5">
      <c r="B18" s="4" t="s">
        <v>27</v>
      </c>
      <c r="C18" s="19">
        <v>46325</v>
      </c>
      <c r="D18" s="5" t="s">
        <v>28</v>
      </c>
      <c r="E18" s="4" t="s">
        <v>7</v>
      </c>
    </row>
  </sheetData>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79"/>
  <sheetViews>
    <sheetView showGridLines="0" workbookViewId="0">
      <pane xSplit="3" ySplit="4" topLeftCell="D5" activePane="bottomRight" state="frozen"/>
      <selection/>
      <selection pane="topRight"/>
      <selection pane="bottomLeft"/>
      <selection pane="bottomRight" activeCell="A1" sqref="A1"/>
    </sheetView>
  </sheetViews>
  <sheetFormatPr defaultColWidth="8.67619047619048" defaultRowHeight="15"/>
  <cols>
    <col min="1" max="1" width="4" customWidth="1"/>
    <col min="2" max="2" width="6" customWidth="1"/>
    <col min="3" max="3" width="24" customWidth="1"/>
    <col min="4" max="4" width="14" customWidth="1"/>
    <col min="5" max="5" width="17" customWidth="1"/>
    <col min="6" max="6" width="60" customWidth="1"/>
    <col min="7" max="7" width="12" customWidth="1"/>
    <col min="8" max="8" width="20" customWidth="1"/>
    <col min="9" max="9" width="12" customWidth="1"/>
    <col min="10" max="10" width="13" customWidth="1"/>
  </cols>
  <sheetData>
    <row r="2" ht="21.75" customHeight="1" spans="2:10">
      <c r="B2" s="1" t="s">
        <v>29</v>
      </c>
    </row>
    <row r="4" ht="30" customHeight="1" spans="2:10">
      <c r="B4" s="3" t="s">
        <v>30</v>
      </c>
      <c r="C4" s="3" t="s">
        <v>31</v>
      </c>
      <c r="D4" s="3" t="s">
        <v>32</v>
      </c>
      <c r="E4" s="3" t="s">
        <v>33</v>
      </c>
      <c r="F4" s="3" t="s">
        <v>34</v>
      </c>
      <c r="G4" s="3" t="s">
        <v>35</v>
      </c>
      <c r="H4" s="3" t="s">
        <v>36</v>
      </c>
      <c r="I4" s="3" t="s">
        <v>37</v>
      </c>
      <c r="J4" s="3" t="s">
        <v>38</v>
      </c>
    </row>
    <row r="5" ht="33" customHeight="1" spans="2:10">
      <c r="B5" s="4">
        <v>1</v>
      </c>
      <c r="C5" s="4" t="s">
        <v>39</v>
      </c>
      <c r="D5" s="4" t="s">
        <v>40</v>
      </c>
      <c r="E5" s="11" t="s">
        <v>41</v>
      </c>
      <c r="F5" s="5" t="s">
        <v>42</v>
      </c>
      <c r="G5" s="4" t="s">
        <v>43</v>
      </c>
      <c r="H5" s="4" t="s">
        <v>7</v>
      </c>
      <c r="I5" s="4" t="s">
        <v>44</v>
      </c>
      <c r="J5" s="4" t="s">
        <v>45</v>
      </c>
    </row>
    <row r="6" ht="27.75" customHeight="1" spans="2:10">
      <c r="B6" s="4">
        <v>2</v>
      </c>
      <c r="C6" s="4" t="s">
        <v>46</v>
      </c>
      <c r="D6" s="4" t="s">
        <v>40</v>
      </c>
      <c r="E6" s="11" t="s">
        <v>41</v>
      </c>
      <c r="F6" s="5" t="s">
        <v>47</v>
      </c>
      <c r="G6" s="4" t="s">
        <v>43</v>
      </c>
      <c r="H6" s="4" t="s">
        <v>7</v>
      </c>
      <c r="I6" s="4" t="s">
        <v>44</v>
      </c>
      <c r="J6" s="4" t="s">
        <v>45</v>
      </c>
    </row>
    <row r="7" ht="27.75" customHeight="1" spans="2:10">
      <c r="B7" s="4">
        <v>3</v>
      </c>
      <c r="C7" s="4" t="s">
        <v>48</v>
      </c>
      <c r="D7" s="4" t="s">
        <v>40</v>
      </c>
      <c r="E7" s="11" t="s">
        <v>41</v>
      </c>
      <c r="F7" s="5" t="s">
        <v>49</v>
      </c>
      <c r="G7" s="4" t="s">
        <v>50</v>
      </c>
      <c r="H7" s="4" t="s">
        <v>7</v>
      </c>
      <c r="I7" s="4" t="s">
        <v>44</v>
      </c>
      <c r="J7" s="4" t="s">
        <v>45</v>
      </c>
    </row>
    <row r="8" ht="27.75" customHeight="1" spans="2:10">
      <c r="B8" s="4">
        <v>4</v>
      </c>
      <c r="C8" s="4" t="s">
        <v>51</v>
      </c>
      <c r="D8" s="4" t="s">
        <v>40</v>
      </c>
      <c r="E8" s="11" t="s">
        <v>41</v>
      </c>
      <c r="F8" s="5" t="s">
        <v>52</v>
      </c>
      <c r="G8" s="4" t="s">
        <v>43</v>
      </c>
      <c r="H8" s="4" t="s">
        <v>7</v>
      </c>
      <c r="I8" s="4" t="s">
        <v>44</v>
      </c>
      <c r="J8" s="4" t="s">
        <v>45</v>
      </c>
    </row>
    <row r="9" ht="27.75" customHeight="1" spans="2:10">
      <c r="B9" s="4">
        <v>5</v>
      </c>
      <c r="C9" s="4" t="s">
        <v>53</v>
      </c>
      <c r="D9" s="4" t="s">
        <v>40</v>
      </c>
      <c r="E9" s="11" t="s">
        <v>41</v>
      </c>
      <c r="F9" s="5" t="s">
        <v>54</v>
      </c>
      <c r="G9" s="4" t="s">
        <v>50</v>
      </c>
      <c r="H9" s="4" t="s">
        <v>7</v>
      </c>
      <c r="I9" s="4" t="s">
        <v>44</v>
      </c>
      <c r="J9" s="4" t="s">
        <v>45</v>
      </c>
    </row>
    <row r="10" ht="33" customHeight="1" spans="2:10">
      <c r="B10" s="4">
        <v>6</v>
      </c>
      <c r="C10" s="4" t="s">
        <v>55</v>
      </c>
      <c r="D10" s="4" t="s">
        <v>40</v>
      </c>
      <c r="E10" s="12" t="s">
        <v>56</v>
      </c>
      <c r="F10" s="5" t="s">
        <v>57</v>
      </c>
      <c r="G10" s="4" t="s">
        <v>43</v>
      </c>
      <c r="H10" s="4" t="s">
        <v>7</v>
      </c>
      <c r="I10" s="4" t="s">
        <v>44</v>
      </c>
      <c r="J10" s="4" t="s">
        <v>45</v>
      </c>
    </row>
    <row r="11" ht="27.75" customHeight="1" spans="2:10">
      <c r="B11" s="4">
        <v>7</v>
      </c>
      <c r="C11" s="4" t="s">
        <v>58</v>
      </c>
      <c r="D11" s="4" t="s">
        <v>40</v>
      </c>
      <c r="E11" s="12" t="s">
        <v>56</v>
      </c>
      <c r="F11" s="5" t="s">
        <v>59</v>
      </c>
      <c r="G11" s="4" t="s">
        <v>50</v>
      </c>
      <c r="H11" s="4" t="s">
        <v>7</v>
      </c>
      <c r="I11" s="4" t="s">
        <v>44</v>
      </c>
      <c r="J11" s="4" t="s">
        <v>45</v>
      </c>
    </row>
    <row r="12" ht="27.75" customHeight="1" spans="2:10">
      <c r="B12" s="4">
        <v>8</v>
      </c>
      <c r="C12" s="4" t="s">
        <v>60</v>
      </c>
      <c r="D12" s="4" t="s">
        <v>40</v>
      </c>
      <c r="E12" s="12" t="s">
        <v>56</v>
      </c>
      <c r="F12" s="5" t="s">
        <v>61</v>
      </c>
      <c r="G12" s="4" t="s">
        <v>50</v>
      </c>
      <c r="H12" s="4" t="s">
        <v>7</v>
      </c>
      <c r="I12" s="4" t="s">
        <v>44</v>
      </c>
      <c r="J12" s="4" t="s">
        <v>62</v>
      </c>
    </row>
    <row r="13" ht="27.75" customHeight="1" spans="2:10">
      <c r="B13" s="4">
        <v>9</v>
      </c>
      <c r="C13" s="4" t="s">
        <v>63</v>
      </c>
      <c r="D13" s="4" t="s">
        <v>40</v>
      </c>
      <c r="E13" s="12" t="s">
        <v>56</v>
      </c>
      <c r="F13" s="5" t="s">
        <v>64</v>
      </c>
      <c r="G13" s="4" t="s">
        <v>50</v>
      </c>
      <c r="H13" s="4" t="s">
        <v>7</v>
      </c>
      <c r="I13" s="4" t="s">
        <v>44</v>
      </c>
      <c r="J13" s="4" t="s">
        <v>62</v>
      </c>
    </row>
    <row r="14" ht="33" customHeight="1" spans="2:10">
      <c r="B14" s="4">
        <v>10</v>
      </c>
      <c r="C14" s="4" t="s">
        <v>65</v>
      </c>
      <c r="D14" s="4" t="s">
        <v>40</v>
      </c>
      <c r="E14" s="12" t="s">
        <v>56</v>
      </c>
      <c r="F14" s="5" t="s">
        <v>66</v>
      </c>
      <c r="G14" s="4" t="s">
        <v>50</v>
      </c>
      <c r="H14" s="4" t="s">
        <v>7</v>
      </c>
      <c r="I14" s="4" t="s">
        <v>44</v>
      </c>
      <c r="J14" s="4" t="s">
        <v>45</v>
      </c>
    </row>
    <row r="15" ht="27.75" customHeight="1" spans="2:10">
      <c r="B15" s="4">
        <v>11</v>
      </c>
      <c r="C15" s="4" t="s">
        <v>67</v>
      </c>
      <c r="D15" s="4" t="s">
        <v>40</v>
      </c>
      <c r="E15" s="13" t="s">
        <v>68</v>
      </c>
      <c r="F15" s="5" t="s">
        <v>69</v>
      </c>
      <c r="G15" s="4" t="s">
        <v>43</v>
      </c>
      <c r="H15" s="4" t="s">
        <v>7</v>
      </c>
      <c r="I15" s="4" t="s">
        <v>44</v>
      </c>
      <c r="J15" s="4" t="s">
        <v>45</v>
      </c>
    </row>
    <row r="16" ht="27.75" customHeight="1" spans="2:10">
      <c r="B16" s="4">
        <v>12</v>
      </c>
      <c r="C16" s="4" t="s">
        <v>70</v>
      </c>
      <c r="D16" s="4" t="s">
        <v>40</v>
      </c>
      <c r="E16" s="13" t="s">
        <v>68</v>
      </c>
      <c r="F16" s="5" t="s">
        <v>71</v>
      </c>
      <c r="G16" s="4" t="s">
        <v>43</v>
      </c>
      <c r="H16" s="4" t="s">
        <v>7</v>
      </c>
      <c r="I16" s="4" t="s">
        <v>44</v>
      </c>
      <c r="J16" s="4" t="s">
        <v>45</v>
      </c>
    </row>
    <row r="17" ht="27.75" customHeight="1" spans="2:10">
      <c r="B17" s="4">
        <v>13</v>
      </c>
      <c r="C17" s="4" t="s">
        <v>72</v>
      </c>
      <c r="D17" s="4" t="s">
        <v>40</v>
      </c>
      <c r="E17" s="13" t="s">
        <v>68</v>
      </c>
      <c r="F17" s="5" t="s">
        <v>73</v>
      </c>
      <c r="G17" s="4" t="s">
        <v>43</v>
      </c>
      <c r="H17" s="4" t="s">
        <v>7</v>
      </c>
      <c r="I17" s="4" t="s">
        <v>44</v>
      </c>
      <c r="J17" s="4" t="s">
        <v>45</v>
      </c>
    </row>
    <row r="18" ht="27.75" customHeight="1" spans="2:10">
      <c r="B18" s="4">
        <v>14</v>
      </c>
      <c r="C18" s="4" t="s">
        <v>74</v>
      </c>
      <c r="D18" s="4" t="s">
        <v>40</v>
      </c>
      <c r="E18" s="13" t="s">
        <v>68</v>
      </c>
      <c r="F18" s="5" t="s">
        <v>75</v>
      </c>
      <c r="G18" s="4" t="s">
        <v>43</v>
      </c>
      <c r="H18" s="4" t="s">
        <v>7</v>
      </c>
      <c r="I18" s="4" t="s">
        <v>44</v>
      </c>
      <c r="J18" s="4" t="s">
        <v>45</v>
      </c>
    </row>
    <row r="19" ht="27.75" customHeight="1" spans="2:10">
      <c r="B19" s="4">
        <v>15</v>
      </c>
      <c r="C19" s="4" t="s">
        <v>76</v>
      </c>
      <c r="D19" s="4" t="s">
        <v>40</v>
      </c>
      <c r="E19" s="13" t="s">
        <v>68</v>
      </c>
      <c r="F19" s="5" t="s">
        <v>77</v>
      </c>
      <c r="G19" s="4" t="s">
        <v>50</v>
      </c>
      <c r="H19" s="4" t="s">
        <v>7</v>
      </c>
      <c r="I19" s="4" t="s">
        <v>44</v>
      </c>
      <c r="J19" s="4" t="s">
        <v>45</v>
      </c>
    </row>
    <row r="20" ht="27.75" customHeight="1" spans="2:10">
      <c r="B20" s="4">
        <v>16</v>
      </c>
      <c r="C20" s="4" t="s">
        <v>78</v>
      </c>
      <c r="D20" s="4" t="s">
        <v>40</v>
      </c>
      <c r="E20" s="13" t="s">
        <v>68</v>
      </c>
      <c r="F20" s="5" t="s">
        <v>79</v>
      </c>
      <c r="G20" s="4" t="s">
        <v>50</v>
      </c>
      <c r="H20" s="4" t="s">
        <v>7</v>
      </c>
      <c r="I20" s="4" t="s">
        <v>44</v>
      </c>
      <c r="J20" s="4" t="s">
        <v>45</v>
      </c>
    </row>
    <row r="21" ht="27.75" customHeight="1" spans="2:10">
      <c r="B21" s="4">
        <v>17</v>
      </c>
      <c r="C21" s="4" t="s">
        <v>80</v>
      </c>
      <c r="D21" s="4" t="s">
        <v>40</v>
      </c>
      <c r="E21" s="13" t="s">
        <v>68</v>
      </c>
      <c r="F21" s="5" t="s">
        <v>81</v>
      </c>
      <c r="G21" s="4" t="s">
        <v>43</v>
      </c>
      <c r="H21" s="4" t="s">
        <v>7</v>
      </c>
      <c r="I21" s="4" t="s">
        <v>44</v>
      </c>
      <c r="J21" s="4" t="s">
        <v>45</v>
      </c>
    </row>
    <row r="22" ht="27.75" customHeight="1" spans="2:10">
      <c r="B22" s="4">
        <v>18</v>
      </c>
      <c r="C22" s="4" t="s">
        <v>82</v>
      </c>
      <c r="D22" s="4" t="s">
        <v>40</v>
      </c>
      <c r="E22" s="13" t="s">
        <v>68</v>
      </c>
      <c r="F22" s="5" t="s">
        <v>83</v>
      </c>
      <c r="G22" s="4" t="s">
        <v>43</v>
      </c>
      <c r="H22" s="4" t="s">
        <v>7</v>
      </c>
      <c r="I22" s="4" t="s">
        <v>44</v>
      </c>
      <c r="J22" s="4" t="s">
        <v>45</v>
      </c>
    </row>
    <row r="23" ht="27.75" customHeight="1" spans="2:10">
      <c r="B23" s="4">
        <v>19</v>
      </c>
      <c r="C23" s="4" t="s">
        <v>84</v>
      </c>
      <c r="D23" s="4" t="s">
        <v>40</v>
      </c>
      <c r="E23" s="13" t="s">
        <v>68</v>
      </c>
      <c r="F23" s="5" t="s">
        <v>85</v>
      </c>
      <c r="G23" s="4" t="s">
        <v>50</v>
      </c>
      <c r="H23" s="4" t="s">
        <v>7</v>
      </c>
      <c r="I23" s="4" t="s">
        <v>44</v>
      </c>
      <c r="J23" s="4" t="s">
        <v>45</v>
      </c>
    </row>
    <row r="24" ht="27.75" customHeight="1" spans="2:10">
      <c r="B24" s="4">
        <v>20</v>
      </c>
      <c r="C24" s="4" t="s">
        <v>86</v>
      </c>
      <c r="D24" s="4" t="s">
        <v>40</v>
      </c>
      <c r="E24" s="13" t="s">
        <v>68</v>
      </c>
      <c r="F24" s="5" t="s">
        <v>87</v>
      </c>
      <c r="G24" s="4" t="s">
        <v>43</v>
      </c>
      <c r="H24" s="4" t="s">
        <v>7</v>
      </c>
      <c r="I24" s="4" t="s">
        <v>44</v>
      </c>
      <c r="J24" s="4" t="s">
        <v>45</v>
      </c>
    </row>
    <row r="25" ht="33" customHeight="1" spans="2:10">
      <c r="B25" s="4">
        <v>21</v>
      </c>
      <c r="C25" s="4" t="s">
        <v>88</v>
      </c>
      <c r="D25" s="4" t="s">
        <v>40</v>
      </c>
      <c r="E25" s="14" t="s">
        <v>89</v>
      </c>
      <c r="F25" s="5" t="s">
        <v>90</v>
      </c>
      <c r="G25" s="4" t="s">
        <v>43</v>
      </c>
      <c r="H25" s="4" t="s">
        <v>7</v>
      </c>
      <c r="I25" s="4" t="s">
        <v>44</v>
      </c>
      <c r="J25" s="4" t="s">
        <v>45</v>
      </c>
    </row>
    <row r="26" ht="27.75" customHeight="1" spans="2:10">
      <c r="B26" s="4">
        <v>22</v>
      </c>
      <c r="C26" s="4" t="s">
        <v>91</v>
      </c>
      <c r="D26" s="4" t="s">
        <v>40</v>
      </c>
      <c r="E26" s="14" t="s">
        <v>89</v>
      </c>
      <c r="F26" s="5" t="s">
        <v>92</v>
      </c>
      <c r="G26" s="4" t="s">
        <v>43</v>
      </c>
      <c r="H26" s="4" t="s">
        <v>7</v>
      </c>
      <c r="I26" s="4" t="s">
        <v>44</v>
      </c>
      <c r="J26" s="4" t="s">
        <v>45</v>
      </c>
    </row>
    <row r="27" ht="27.75" customHeight="1" spans="2:10">
      <c r="B27" s="4">
        <v>23</v>
      </c>
      <c r="C27" s="4" t="s">
        <v>93</v>
      </c>
      <c r="D27" s="4" t="s">
        <v>40</v>
      </c>
      <c r="E27" s="14" t="s">
        <v>89</v>
      </c>
      <c r="F27" s="5" t="s">
        <v>94</v>
      </c>
      <c r="G27" s="4" t="s">
        <v>50</v>
      </c>
      <c r="H27" s="4" t="s">
        <v>7</v>
      </c>
      <c r="I27" s="4" t="s">
        <v>44</v>
      </c>
      <c r="J27" s="4" t="s">
        <v>45</v>
      </c>
    </row>
    <row r="28" ht="27.75" customHeight="1" spans="2:10">
      <c r="B28" s="4">
        <v>24</v>
      </c>
      <c r="C28" s="4" t="s">
        <v>95</v>
      </c>
      <c r="D28" s="4" t="s">
        <v>40</v>
      </c>
      <c r="E28" s="14" t="s">
        <v>89</v>
      </c>
      <c r="F28" s="5" t="s">
        <v>96</v>
      </c>
      <c r="G28" s="4" t="s">
        <v>43</v>
      </c>
      <c r="H28" s="4" t="s">
        <v>7</v>
      </c>
      <c r="I28" s="4" t="s">
        <v>44</v>
      </c>
      <c r="J28" s="4" t="s">
        <v>45</v>
      </c>
    </row>
    <row r="29" ht="33" customHeight="1" spans="2:10">
      <c r="B29" s="4">
        <v>25</v>
      </c>
      <c r="C29" s="4" t="s">
        <v>97</v>
      </c>
      <c r="D29" s="4" t="s">
        <v>40</v>
      </c>
      <c r="E29" s="15" t="s">
        <v>98</v>
      </c>
      <c r="F29" s="5" t="s">
        <v>99</v>
      </c>
      <c r="G29" s="4" t="s">
        <v>50</v>
      </c>
      <c r="H29" s="4" t="s">
        <v>7</v>
      </c>
      <c r="I29" s="4" t="s">
        <v>44</v>
      </c>
      <c r="J29" s="4" t="s">
        <v>45</v>
      </c>
    </row>
    <row r="30" ht="33" customHeight="1" spans="2:10">
      <c r="B30" s="4">
        <v>26</v>
      </c>
      <c r="C30" s="4" t="s">
        <v>100</v>
      </c>
      <c r="D30" s="4" t="s">
        <v>101</v>
      </c>
      <c r="E30" s="11" t="s">
        <v>41</v>
      </c>
      <c r="F30" s="5" t="s">
        <v>102</v>
      </c>
      <c r="G30" s="4" t="s">
        <v>43</v>
      </c>
      <c r="H30" s="4" t="s">
        <v>7</v>
      </c>
      <c r="I30" s="4" t="s">
        <v>44</v>
      </c>
      <c r="J30" s="4" t="s">
        <v>45</v>
      </c>
    </row>
    <row r="31" ht="33" customHeight="1" spans="2:10">
      <c r="B31" s="4">
        <v>27</v>
      </c>
      <c r="C31" s="4" t="s">
        <v>103</v>
      </c>
      <c r="D31" s="4" t="s">
        <v>101</v>
      </c>
      <c r="E31" s="11" t="s">
        <v>41</v>
      </c>
      <c r="F31" s="5" t="s">
        <v>104</v>
      </c>
      <c r="G31" s="4" t="s">
        <v>43</v>
      </c>
      <c r="H31" s="4" t="s">
        <v>7</v>
      </c>
      <c r="I31" s="4" t="s">
        <v>44</v>
      </c>
      <c r="J31" s="4" t="s">
        <v>45</v>
      </c>
    </row>
    <row r="32" ht="27.75" customHeight="1" spans="2:10">
      <c r="B32" s="4">
        <v>28</v>
      </c>
      <c r="C32" s="4" t="s">
        <v>105</v>
      </c>
      <c r="D32" s="4" t="s">
        <v>101</v>
      </c>
      <c r="E32" s="11" t="s">
        <v>41</v>
      </c>
      <c r="F32" s="5" t="s">
        <v>106</v>
      </c>
      <c r="G32" s="4" t="s">
        <v>50</v>
      </c>
      <c r="H32" s="4" t="s">
        <v>7</v>
      </c>
      <c r="I32" s="4" t="s">
        <v>44</v>
      </c>
      <c r="J32" s="4" t="s">
        <v>45</v>
      </c>
    </row>
    <row r="33" ht="27.75" customHeight="1" spans="2:10">
      <c r="B33" s="4">
        <v>29</v>
      </c>
      <c r="C33" s="4" t="s">
        <v>107</v>
      </c>
      <c r="D33" s="4" t="s">
        <v>101</v>
      </c>
      <c r="E33" s="11" t="s">
        <v>41</v>
      </c>
      <c r="F33" s="5" t="s">
        <v>108</v>
      </c>
      <c r="G33" s="4" t="s">
        <v>50</v>
      </c>
      <c r="H33" s="4" t="s">
        <v>7</v>
      </c>
      <c r="I33" s="4" t="s">
        <v>44</v>
      </c>
      <c r="J33" s="4" t="s">
        <v>45</v>
      </c>
    </row>
    <row r="34" ht="33" customHeight="1" spans="2:10">
      <c r="B34" s="4">
        <v>30</v>
      </c>
      <c r="C34" s="4" t="s">
        <v>109</v>
      </c>
      <c r="D34" s="4" t="s">
        <v>101</v>
      </c>
      <c r="E34" s="11" t="s">
        <v>41</v>
      </c>
      <c r="F34" s="5" t="s">
        <v>110</v>
      </c>
      <c r="G34" s="4" t="s">
        <v>111</v>
      </c>
      <c r="H34" s="4" t="s">
        <v>7</v>
      </c>
      <c r="I34" s="4" t="s">
        <v>44</v>
      </c>
      <c r="J34" s="4" t="s">
        <v>45</v>
      </c>
    </row>
    <row r="35" ht="33" customHeight="1" spans="2:10">
      <c r="B35" s="4">
        <v>31</v>
      </c>
      <c r="C35" s="4" t="s">
        <v>112</v>
      </c>
      <c r="D35" s="4" t="s">
        <v>101</v>
      </c>
      <c r="E35" s="12" t="s">
        <v>56</v>
      </c>
      <c r="F35" s="5" t="s">
        <v>113</v>
      </c>
      <c r="G35" s="4" t="s">
        <v>43</v>
      </c>
      <c r="H35" s="4" t="s">
        <v>7</v>
      </c>
      <c r="I35" s="4" t="s">
        <v>44</v>
      </c>
      <c r="J35" s="4" t="s">
        <v>62</v>
      </c>
    </row>
    <row r="36" ht="27.75" customHeight="1" spans="2:10">
      <c r="B36" s="4">
        <v>32</v>
      </c>
      <c r="C36" s="4" t="s">
        <v>114</v>
      </c>
      <c r="D36" s="4" t="s">
        <v>101</v>
      </c>
      <c r="E36" s="12" t="s">
        <v>56</v>
      </c>
      <c r="F36" s="5" t="s">
        <v>115</v>
      </c>
      <c r="G36" s="4" t="s">
        <v>43</v>
      </c>
      <c r="H36" s="4" t="s">
        <v>7</v>
      </c>
      <c r="I36" s="4" t="s">
        <v>44</v>
      </c>
      <c r="J36" s="4" t="s">
        <v>45</v>
      </c>
    </row>
    <row r="37" ht="27.75" customHeight="1" spans="2:10">
      <c r="B37" s="4">
        <v>33</v>
      </c>
      <c r="C37" s="4" t="s">
        <v>116</v>
      </c>
      <c r="D37" s="4" t="s">
        <v>101</v>
      </c>
      <c r="E37" s="12" t="s">
        <v>56</v>
      </c>
      <c r="F37" s="5" t="s">
        <v>117</v>
      </c>
      <c r="G37" s="4" t="s">
        <v>50</v>
      </c>
      <c r="H37" s="4" t="s">
        <v>7</v>
      </c>
      <c r="I37" s="4" t="s">
        <v>44</v>
      </c>
      <c r="J37" s="4" t="s">
        <v>45</v>
      </c>
    </row>
    <row r="38" ht="33" customHeight="1" spans="2:10">
      <c r="B38" s="4">
        <v>34</v>
      </c>
      <c r="C38" s="4" t="s">
        <v>118</v>
      </c>
      <c r="D38" s="4" t="s">
        <v>101</v>
      </c>
      <c r="E38" s="12" t="s">
        <v>56</v>
      </c>
      <c r="F38" s="5" t="s">
        <v>119</v>
      </c>
      <c r="G38" s="4" t="s">
        <v>50</v>
      </c>
      <c r="H38" s="4" t="s">
        <v>7</v>
      </c>
      <c r="I38" s="4" t="s">
        <v>44</v>
      </c>
      <c r="J38" s="4" t="s">
        <v>45</v>
      </c>
    </row>
    <row r="39" ht="33" customHeight="1" spans="2:10">
      <c r="B39" s="4">
        <v>35</v>
      </c>
      <c r="C39" s="4" t="s">
        <v>120</v>
      </c>
      <c r="D39" s="4" t="s">
        <v>101</v>
      </c>
      <c r="E39" s="12" t="s">
        <v>56</v>
      </c>
      <c r="F39" s="5" t="s">
        <v>121</v>
      </c>
      <c r="G39" s="4" t="s">
        <v>43</v>
      </c>
      <c r="H39" s="4" t="s">
        <v>7</v>
      </c>
      <c r="I39" s="4" t="s">
        <v>44</v>
      </c>
      <c r="J39" s="4" t="s">
        <v>45</v>
      </c>
    </row>
    <row r="40" ht="27.75" customHeight="1" spans="2:10">
      <c r="B40" s="4">
        <v>36</v>
      </c>
      <c r="C40" s="4" t="s">
        <v>122</v>
      </c>
      <c r="D40" s="4" t="s">
        <v>101</v>
      </c>
      <c r="E40" s="13" t="s">
        <v>68</v>
      </c>
      <c r="F40" s="5" t="s">
        <v>123</v>
      </c>
      <c r="G40" s="4" t="s">
        <v>43</v>
      </c>
      <c r="H40" s="4" t="s">
        <v>7</v>
      </c>
      <c r="I40" s="4" t="s">
        <v>44</v>
      </c>
      <c r="J40" s="4" t="s">
        <v>45</v>
      </c>
    </row>
    <row r="41" ht="27.75" customHeight="1" spans="2:10">
      <c r="B41" s="4">
        <v>37</v>
      </c>
      <c r="C41" s="4" t="s">
        <v>124</v>
      </c>
      <c r="D41" s="4" t="s">
        <v>101</v>
      </c>
      <c r="E41" s="13" t="s">
        <v>68</v>
      </c>
      <c r="F41" s="5" t="s">
        <v>125</v>
      </c>
      <c r="G41" s="4" t="s">
        <v>43</v>
      </c>
      <c r="H41" s="4" t="s">
        <v>7</v>
      </c>
      <c r="I41" s="4" t="s">
        <v>44</v>
      </c>
      <c r="J41" s="4" t="s">
        <v>45</v>
      </c>
    </row>
    <row r="42" ht="27.75" customHeight="1" spans="2:10">
      <c r="B42" s="4">
        <v>38</v>
      </c>
      <c r="C42" s="4" t="s">
        <v>126</v>
      </c>
      <c r="D42" s="4" t="s">
        <v>101</v>
      </c>
      <c r="E42" s="13" t="s">
        <v>68</v>
      </c>
      <c r="F42" s="5" t="s">
        <v>127</v>
      </c>
      <c r="G42" s="4" t="s">
        <v>43</v>
      </c>
      <c r="H42" s="4" t="s">
        <v>7</v>
      </c>
      <c r="I42" s="4" t="s">
        <v>44</v>
      </c>
      <c r="J42" s="4" t="s">
        <v>45</v>
      </c>
    </row>
    <row r="43" ht="27.75" customHeight="1" spans="2:10">
      <c r="B43" s="4">
        <v>39</v>
      </c>
      <c r="C43" s="4" t="s">
        <v>128</v>
      </c>
      <c r="D43" s="4" t="s">
        <v>101</v>
      </c>
      <c r="E43" s="13" t="s">
        <v>68</v>
      </c>
      <c r="F43" s="5" t="s">
        <v>129</v>
      </c>
      <c r="G43" s="4" t="s">
        <v>50</v>
      </c>
      <c r="H43" s="4" t="s">
        <v>7</v>
      </c>
      <c r="I43" s="4" t="s">
        <v>44</v>
      </c>
      <c r="J43" s="4" t="s">
        <v>62</v>
      </c>
    </row>
    <row r="44" ht="33" customHeight="1" spans="2:10">
      <c r="B44" s="4">
        <v>40</v>
      </c>
      <c r="C44" s="4" t="s">
        <v>130</v>
      </c>
      <c r="D44" s="4" t="s">
        <v>101</v>
      </c>
      <c r="E44" s="13" t="s">
        <v>68</v>
      </c>
      <c r="F44" s="5" t="s">
        <v>131</v>
      </c>
      <c r="G44" s="4" t="s">
        <v>50</v>
      </c>
      <c r="H44" s="4" t="s">
        <v>7</v>
      </c>
      <c r="I44" s="4" t="s">
        <v>44</v>
      </c>
      <c r="J44" s="4" t="s">
        <v>62</v>
      </c>
    </row>
    <row r="45" ht="27.75" customHeight="1" spans="2:10">
      <c r="B45" s="4">
        <v>41</v>
      </c>
      <c r="C45" s="4" t="s">
        <v>132</v>
      </c>
      <c r="D45" s="4" t="s">
        <v>101</v>
      </c>
      <c r="E45" s="13" t="s">
        <v>68</v>
      </c>
      <c r="F45" s="5" t="s">
        <v>133</v>
      </c>
      <c r="G45" s="4" t="s">
        <v>50</v>
      </c>
      <c r="H45" s="4" t="s">
        <v>7</v>
      </c>
      <c r="I45" s="4" t="s">
        <v>44</v>
      </c>
      <c r="J45" s="4" t="s">
        <v>62</v>
      </c>
    </row>
    <row r="46" ht="27.75" customHeight="1" spans="2:10">
      <c r="B46" s="4">
        <v>42</v>
      </c>
      <c r="C46" s="4" t="s">
        <v>134</v>
      </c>
      <c r="D46" s="4" t="s">
        <v>101</v>
      </c>
      <c r="E46" s="13" t="s">
        <v>68</v>
      </c>
      <c r="F46" s="5" t="s">
        <v>135</v>
      </c>
      <c r="G46" s="4" t="s">
        <v>50</v>
      </c>
      <c r="H46" s="4" t="s">
        <v>7</v>
      </c>
      <c r="I46" s="4" t="s">
        <v>44</v>
      </c>
      <c r="J46" s="4" t="s">
        <v>62</v>
      </c>
    </row>
    <row r="47" ht="27.75" customHeight="1" spans="2:10">
      <c r="B47" s="4">
        <v>43</v>
      </c>
      <c r="C47" s="4" t="s">
        <v>136</v>
      </c>
      <c r="D47" s="4" t="s">
        <v>101</v>
      </c>
      <c r="E47" s="13" t="s">
        <v>68</v>
      </c>
      <c r="F47" s="5" t="s">
        <v>137</v>
      </c>
      <c r="G47" s="4" t="s">
        <v>43</v>
      </c>
      <c r="H47" s="4" t="s">
        <v>7</v>
      </c>
      <c r="I47" s="4" t="s">
        <v>44</v>
      </c>
      <c r="J47" s="4" t="s">
        <v>45</v>
      </c>
    </row>
    <row r="48" ht="27.75" customHeight="1" spans="2:10">
      <c r="B48" s="4">
        <v>44</v>
      </c>
      <c r="C48" s="4" t="s">
        <v>138</v>
      </c>
      <c r="D48" s="4" t="s">
        <v>101</v>
      </c>
      <c r="E48" s="13" t="s">
        <v>68</v>
      </c>
      <c r="F48" s="5" t="s">
        <v>139</v>
      </c>
      <c r="G48" s="4" t="s">
        <v>50</v>
      </c>
      <c r="H48" s="4" t="s">
        <v>7</v>
      </c>
      <c r="I48" s="4" t="s">
        <v>44</v>
      </c>
      <c r="J48" s="4" t="s">
        <v>45</v>
      </c>
    </row>
    <row r="49" ht="27.75" customHeight="1" spans="2:10">
      <c r="B49" s="4">
        <v>45</v>
      </c>
      <c r="C49" s="4" t="s">
        <v>140</v>
      </c>
      <c r="D49" s="4" t="s">
        <v>101</v>
      </c>
      <c r="E49" s="13" t="s">
        <v>68</v>
      </c>
      <c r="F49" s="5" t="s">
        <v>141</v>
      </c>
      <c r="G49" s="4" t="s">
        <v>50</v>
      </c>
      <c r="H49" s="4" t="s">
        <v>7</v>
      </c>
      <c r="I49" s="4" t="s">
        <v>44</v>
      </c>
      <c r="J49" s="4" t="s">
        <v>45</v>
      </c>
    </row>
    <row r="50" ht="33" customHeight="1" spans="2:10">
      <c r="B50" s="4">
        <v>46</v>
      </c>
      <c r="C50" s="4" t="s">
        <v>142</v>
      </c>
      <c r="D50" s="4" t="s">
        <v>101</v>
      </c>
      <c r="E50" s="14" t="s">
        <v>89</v>
      </c>
      <c r="F50" s="5" t="s">
        <v>143</v>
      </c>
      <c r="G50" s="4" t="s">
        <v>50</v>
      </c>
      <c r="H50" s="4" t="s">
        <v>7</v>
      </c>
      <c r="I50" s="4" t="s">
        <v>44</v>
      </c>
      <c r="J50" s="4" t="s">
        <v>45</v>
      </c>
    </row>
    <row r="51" ht="27.75" customHeight="1" spans="2:10">
      <c r="B51" s="4">
        <v>47</v>
      </c>
      <c r="C51" s="4" t="s">
        <v>144</v>
      </c>
      <c r="D51" s="4" t="s">
        <v>101</v>
      </c>
      <c r="E51" s="14" t="s">
        <v>89</v>
      </c>
      <c r="F51" s="5" t="s">
        <v>145</v>
      </c>
      <c r="G51" s="4" t="s">
        <v>50</v>
      </c>
      <c r="H51" s="4" t="s">
        <v>7</v>
      </c>
      <c r="I51" s="4" t="s">
        <v>44</v>
      </c>
      <c r="J51" s="4" t="s">
        <v>45</v>
      </c>
    </row>
    <row r="52" ht="33" customHeight="1" spans="2:10">
      <c r="B52" s="4">
        <v>48</v>
      </c>
      <c r="C52" s="4" t="s">
        <v>146</v>
      </c>
      <c r="D52" s="4" t="s">
        <v>101</v>
      </c>
      <c r="E52" s="14" t="s">
        <v>89</v>
      </c>
      <c r="F52" s="5" t="s">
        <v>147</v>
      </c>
      <c r="G52" s="4" t="s">
        <v>111</v>
      </c>
      <c r="H52" s="4" t="s">
        <v>7</v>
      </c>
      <c r="I52" s="4" t="s">
        <v>44</v>
      </c>
      <c r="J52" s="4" t="s">
        <v>62</v>
      </c>
    </row>
    <row r="53" ht="33" customHeight="1" spans="2:10">
      <c r="B53" s="4">
        <v>49</v>
      </c>
      <c r="C53" s="4" t="s">
        <v>148</v>
      </c>
      <c r="D53" s="4" t="s">
        <v>101</v>
      </c>
      <c r="E53" s="14" t="s">
        <v>89</v>
      </c>
      <c r="F53" s="5" t="s">
        <v>149</v>
      </c>
      <c r="G53" s="4" t="s">
        <v>43</v>
      </c>
      <c r="H53" s="4" t="s">
        <v>7</v>
      </c>
      <c r="I53" s="4" t="s">
        <v>44</v>
      </c>
      <c r="J53" s="4" t="s">
        <v>45</v>
      </c>
    </row>
    <row r="54" ht="33" customHeight="1" spans="2:10">
      <c r="B54" s="4">
        <v>50</v>
      </c>
      <c r="C54" s="4" t="s">
        <v>150</v>
      </c>
      <c r="D54" s="4" t="s">
        <v>101</v>
      </c>
      <c r="E54" s="15" t="s">
        <v>98</v>
      </c>
      <c r="F54" s="5" t="s">
        <v>151</v>
      </c>
      <c r="G54" s="4" t="s">
        <v>50</v>
      </c>
      <c r="H54" s="4" t="s">
        <v>7</v>
      </c>
      <c r="I54" s="4" t="s">
        <v>44</v>
      </c>
      <c r="J54" s="4" t="s">
        <v>62</v>
      </c>
    </row>
    <row r="55" ht="27.75" customHeight="1" spans="2:10">
      <c r="B55" s="4">
        <v>51</v>
      </c>
      <c r="C55" s="4" t="s">
        <v>152</v>
      </c>
      <c r="D55" s="4" t="s">
        <v>153</v>
      </c>
      <c r="E55" s="11" t="s">
        <v>41</v>
      </c>
      <c r="F55" s="5" t="s">
        <v>154</v>
      </c>
      <c r="G55" s="4" t="s">
        <v>43</v>
      </c>
      <c r="H55" s="4" t="s">
        <v>7</v>
      </c>
      <c r="I55" s="4" t="s">
        <v>44</v>
      </c>
      <c r="J55" s="4" t="s">
        <v>45</v>
      </c>
    </row>
    <row r="56" ht="27.75" customHeight="1" spans="2:10">
      <c r="B56" s="4">
        <v>52</v>
      </c>
      <c r="C56" s="4" t="s">
        <v>155</v>
      </c>
      <c r="D56" s="4" t="s">
        <v>153</v>
      </c>
      <c r="E56" s="11" t="s">
        <v>41</v>
      </c>
      <c r="F56" s="5" t="s">
        <v>156</v>
      </c>
      <c r="G56" s="4" t="s">
        <v>111</v>
      </c>
      <c r="H56" s="4" t="s">
        <v>7</v>
      </c>
      <c r="I56" s="4" t="s">
        <v>44</v>
      </c>
      <c r="J56" s="4" t="s">
        <v>62</v>
      </c>
    </row>
    <row r="57" ht="33" customHeight="1" spans="2:10">
      <c r="B57" s="4">
        <v>53</v>
      </c>
      <c r="C57" s="4" t="s">
        <v>157</v>
      </c>
      <c r="D57" s="4" t="s">
        <v>153</v>
      </c>
      <c r="E57" s="11" t="s">
        <v>41</v>
      </c>
      <c r="F57" s="5" t="s">
        <v>158</v>
      </c>
      <c r="G57" s="4" t="s">
        <v>43</v>
      </c>
      <c r="H57" s="4" t="s">
        <v>7</v>
      </c>
      <c r="I57" s="4" t="s">
        <v>44</v>
      </c>
      <c r="J57" s="4" t="s">
        <v>45</v>
      </c>
    </row>
    <row r="58" ht="27.75" customHeight="1" spans="2:10">
      <c r="B58" s="4">
        <v>54</v>
      </c>
      <c r="C58" s="4" t="s">
        <v>159</v>
      </c>
      <c r="D58" s="4" t="s">
        <v>153</v>
      </c>
      <c r="E58" s="11" t="s">
        <v>41</v>
      </c>
      <c r="F58" s="5" t="s">
        <v>160</v>
      </c>
      <c r="G58" s="4" t="s">
        <v>50</v>
      </c>
      <c r="H58" s="4" t="s">
        <v>7</v>
      </c>
      <c r="I58" s="4" t="s">
        <v>44</v>
      </c>
      <c r="J58" s="4" t="s">
        <v>45</v>
      </c>
    </row>
    <row r="59" ht="33" customHeight="1" spans="2:10">
      <c r="B59" s="4">
        <v>55</v>
      </c>
      <c r="C59" s="4" t="s">
        <v>161</v>
      </c>
      <c r="D59" s="4" t="s">
        <v>153</v>
      </c>
      <c r="E59" s="11" t="s">
        <v>41</v>
      </c>
      <c r="F59" s="5" t="s">
        <v>162</v>
      </c>
      <c r="G59" s="4" t="s">
        <v>50</v>
      </c>
      <c r="H59" s="4" t="s">
        <v>7</v>
      </c>
      <c r="I59" s="4" t="s">
        <v>44</v>
      </c>
      <c r="J59" s="4" t="s">
        <v>45</v>
      </c>
    </row>
    <row r="60" ht="27.75" customHeight="1" spans="2:10">
      <c r="B60" s="4">
        <v>56</v>
      </c>
      <c r="C60" s="4" t="s">
        <v>163</v>
      </c>
      <c r="D60" s="4" t="s">
        <v>153</v>
      </c>
      <c r="E60" s="12" t="s">
        <v>56</v>
      </c>
      <c r="F60" s="5" t="s">
        <v>164</v>
      </c>
      <c r="G60" s="4" t="s">
        <v>43</v>
      </c>
      <c r="H60" s="4" t="s">
        <v>7</v>
      </c>
      <c r="I60" s="4" t="s">
        <v>44</v>
      </c>
      <c r="J60" s="4" t="s">
        <v>62</v>
      </c>
    </row>
    <row r="61" ht="27.75" customHeight="1" spans="2:10">
      <c r="B61" s="4">
        <v>57</v>
      </c>
      <c r="C61" s="4" t="s">
        <v>165</v>
      </c>
      <c r="D61" s="4" t="s">
        <v>153</v>
      </c>
      <c r="E61" s="12" t="s">
        <v>56</v>
      </c>
      <c r="F61" s="5" t="s">
        <v>166</v>
      </c>
      <c r="G61" s="4" t="s">
        <v>50</v>
      </c>
      <c r="H61" s="4" t="s">
        <v>7</v>
      </c>
      <c r="I61" s="4" t="s">
        <v>44</v>
      </c>
      <c r="J61" s="4" t="s">
        <v>45</v>
      </c>
    </row>
    <row r="62" ht="27.75" customHeight="1" spans="2:10">
      <c r="B62" s="4">
        <v>58</v>
      </c>
      <c r="C62" s="4" t="s">
        <v>167</v>
      </c>
      <c r="D62" s="4" t="s">
        <v>153</v>
      </c>
      <c r="E62" s="12" t="s">
        <v>56</v>
      </c>
      <c r="F62" s="5" t="s">
        <v>168</v>
      </c>
      <c r="G62" s="4" t="s">
        <v>43</v>
      </c>
      <c r="H62" s="4" t="s">
        <v>7</v>
      </c>
      <c r="I62" s="4" t="s">
        <v>44</v>
      </c>
      <c r="J62" s="4" t="s">
        <v>62</v>
      </c>
    </row>
    <row r="63" ht="27.75" customHeight="1" spans="2:10">
      <c r="B63" s="4">
        <v>59</v>
      </c>
      <c r="C63" s="4" t="s">
        <v>169</v>
      </c>
      <c r="D63" s="4" t="s">
        <v>153</v>
      </c>
      <c r="E63" s="12" t="s">
        <v>56</v>
      </c>
      <c r="F63" s="5" t="s">
        <v>170</v>
      </c>
      <c r="G63" s="4" t="s">
        <v>50</v>
      </c>
      <c r="H63" s="4" t="s">
        <v>7</v>
      </c>
      <c r="I63" s="4" t="s">
        <v>44</v>
      </c>
      <c r="J63" s="4" t="s">
        <v>62</v>
      </c>
    </row>
    <row r="64" ht="27.75" customHeight="1" spans="2:10">
      <c r="B64" s="4">
        <v>60</v>
      </c>
      <c r="C64" s="4" t="s">
        <v>171</v>
      </c>
      <c r="D64" s="4" t="s">
        <v>153</v>
      </c>
      <c r="E64" s="12" t="s">
        <v>56</v>
      </c>
      <c r="F64" s="5" t="s">
        <v>172</v>
      </c>
      <c r="G64" s="4" t="s">
        <v>50</v>
      </c>
      <c r="H64" s="4" t="s">
        <v>7</v>
      </c>
      <c r="I64" s="4" t="s">
        <v>44</v>
      </c>
      <c r="J64" s="4" t="s">
        <v>45</v>
      </c>
    </row>
    <row r="65" ht="27.75" customHeight="1" spans="2:10">
      <c r="B65" s="4">
        <v>61</v>
      </c>
      <c r="C65" s="4" t="s">
        <v>173</v>
      </c>
      <c r="D65" s="4" t="s">
        <v>153</v>
      </c>
      <c r="E65" s="13" t="s">
        <v>68</v>
      </c>
      <c r="F65" s="5" t="s">
        <v>174</v>
      </c>
      <c r="G65" s="4" t="s">
        <v>43</v>
      </c>
      <c r="H65" s="4" t="s">
        <v>7</v>
      </c>
      <c r="I65" s="4" t="s">
        <v>44</v>
      </c>
      <c r="J65" s="4" t="s">
        <v>45</v>
      </c>
    </row>
    <row r="66" ht="27.75" customHeight="1" spans="2:10">
      <c r="B66" s="4">
        <v>62</v>
      </c>
      <c r="C66" s="4" t="s">
        <v>175</v>
      </c>
      <c r="D66" s="4" t="s">
        <v>153</v>
      </c>
      <c r="E66" s="13" t="s">
        <v>68</v>
      </c>
      <c r="F66" s="5" t="s">
        <v>176</v>
      </c>
      <c r="G66" s="4" t="s">
        <v>43</v>
      </c>
      <c r="H66" s="4" t="s">
        <v>7</v>
      </c>
      <c r="I66" s="4" t="s">
        <v>44</v>
      </c>
      <c r="J66" s="4" t="s">
        <v>62</v>
      </c>
    </row>
    <row r="67" ht="27.75" customHeight="1" spans="2:10">
      <c r="B67" s="4">
        <v>63</v>
      </c>
      <c r="C67" s="4" t="s">
        <v>177</v>
      </c>
      <c r="D67" s="4" t="s">
        <v>153</v>
      </c>
      <c r="E67" s="13" t="s">
        <v>68</v>
      </c>
      <c r="F67" s="5" t="s">
        <v>178</v>
      </c>
      <c r="G67" s="4" t="s">
        <v>50</v>
      </c>
      <c r="H67" s="4" t="s">
        <v>7</v>
      </c>
      <c r="I67" s="4" t="s">
        <v>44</v>
      </c>
      <c r="J67" s="4" t="s">
        <v>62</v>
      </c>
    </row>
    <row r="68" ht="27.75" customHeight="1" spans="2:10">
      <c r="B68" s="4">
        <v>64</v>
      </c>
      <c r="C68" s="4" t="s">
        <v>179</v>
      </c>
      <c r="D68" s="4" t="s">
        <v>153</v>
      </c>
      <c r="E68" s="13" t="s">
        <v>68</v>
      </c>
      <c r="F68" s="5" t="s">
        <v>180</v>
      </c>
      <c r="G68" s="4" t="s">
        <v>43</v>
      </c>
      <c r="H68" s="4" t="s">
        <v>7</v>
      </c>
      <c r="I68" s="4" t="s">
        <v>44</v>
      </c>
      <c r="J68" s="4" t="s">
        <v>62</v>
      </c>
    </row>
    <row r="69" ht="27.75" customHeight="1" spans="2:10">
      <c r="B69" s="4">
        <v>65</v>
      </c>
      <c r="C69" s="4" t="s">
        <v>181</v>
      </c>
      <c r="D69" s="4" t="s">
        <v>153</v>
      </c>
      <c r="E69" s="13" t="s">
        <v>68</v>
      </c>
      <c r="F69" s="5" t="s">
        <v>182</v>
      </c>
      <c r="G69" s="4" t="s">
        <v>43</v>
      </c>
      <c r="H69" s="4" t="s">
        <v>7</v>
      </c>
      <c r="I69" s="4" t="s">
        <v>44</v>
      </c>
      <c r="J69" s="4" t="s">
        <v>45</v>
      </c>
    </row>
    <row r="70" ht="27.75" customHeight="1" spans="2:10">
      <c r="B70" s="4">
        <v>66</v>
      </c>
      <c r="C70" s="4" t="s">
        <v>183</v>
      </c>
      <c r="D70" s="4" t="s">
        <v>153</v>
      </c>
      <c r="E70" s="13" t="s">
        <v>68</v>
      </c>
      <c r="F70" s="5" t="s">
        <v>184</v>
      </c>
      <c r="G70" s="4" t="s">
        <v>43</v>
      </c>
      <c r="H70" s="4" t="s">
        <v>7</v>
      </c>
      <c r="I70" s="4" t="s">
        <v>44</v>
      </c>
      <c r="J70" s="4" t="s">
        <v>45</v>
      </c>
    </row>
    <row r="71" ht="33" customHeight="1" spans="2:10">
      <c r="B71" s="4">
        <v>67</v>
      </c>
      <c r="C71" s="4" t="s">
        <v>185</v>
      </c>
      <c r="D71" s="4" t="s">
        <v>153</v>
      </c>
      <c r="E71" s="13" t="s">
        <v>68</v>
      </c>
      <c r="F71" s="5" t="s">
        <v>186</v>
      </c>
      <c r="G71" s="4" t="s">
        <v>50</v>
      </c>
      <c r="H71" s="4" t="s">
        <v>7</v>
      </c>
      <c r="I71" s="4" t="s">
        <v>44</v>
      </c>
      <c r="J71" s="4" t="s">
        <v>45</v>
      </c>
    </row>
    <row r="72" ht="27.75" customHeight="1" spans="2:10">
      <c r="B72" s="4">
        <v>68</v>
      </c>
      <c r="C72" s="4" t="s">
        <v>187</v>
      </c>
      <c r="D72" s="4" t="s">
        <v>153</v>
      </c>
      <c r="E72" s="13" t="s">
        <v>68</v>
      </c>
      <c r="F72" s="5" t="s">
        <v>188</v>
      </c>
      <c r="G72" s="4" t="s">
        <v>50</v>
      </c>
      <c r="H72" s="4" t="s">
        <v>7</v>
      </c>
      <c r="I72" s="4" t="s">
        <v>44</v>
      </c>
      <c r="J72" s="4" t="s">
        <v>45</v>
      </c>
    </row>
    <row r="73" ht="27.75" customHeight="1" spans="2:10">
      <c r="B73" s="4">
        <v>69</v>
      </c>
      <c r="C73" s="4" t="s">
        <v>189</v>
      </c>
      <c r="D73" s="4" t="s">
        <v>153</v>
      </c>
      <c r="E73" s="13" t="s">
        <v>68</v>
      </c>
      <c r="F73" s="5" t="s">
        <v>190</v>
      </c>
      <c r="G73" s="4" t="s">
        <v>43</v>
      </c>
      <c r="H73" s="4" t="s">
        <v>7</v>
      </c>
      <c r="I73" s="4" t="s">
        <v>44</v>
      </c>
      <c r="J73" s="4" t="s">
        <v>45</v>
      </c>
    </row>
    <row r="74" ht="27.75" customHeight="1" spans="2:10">
      <c r="B74" s="4">
        <v>70</v>
      </c>
      <c r="C74" s="4" t="s">
        <v>191</v>
      </c>
      <c r="D74" s="4" t="s">
        <v>153</v>
      </c>
      <c r="E74" s="13" t="s">
        <v>68</v>
      </c>
      <c r="F74" s="5" t="s">
        <v>192</v>
      </c>
      <c r="G74" s="4" t="s">
        <v>43</v>
      </c>
      <c r="H74" s="4" t="s">
        <v>7</v>
      </c>
      <c r="I74" s="4" t="s">
        <v>44</v>
      </c>
      <c r="J74" s="4" t="s">
        <v>45</v>
      </c>
    </row>
    <row r="75" ht="33" customHeight="1" spans="2:10">
      <c r="B75" s="4">
        <v>71</v>
      </c>
      <c r="C75" s="4" t="s">
        <v>193</v>
      </c>
      <c r="D75" s="4" t="s">
        <v>153</v>
      </c>
      <c r="E75" s="14" t="s">
        <v>89</v>
      </c>
      <c r="F75" s="5" t="s">
        <v>194</v>
      </c>
      <c r="G75" s="4" t="s">
        <v>50</v>
      </c>
      <c r="H75" s="4" t="s">
        <v>7</v>
      </c>
      <c r="I75" s="4" t="s">
        <v>44</v>
      </c>
      <c r="J75" s="4" t="s">
        <v>45</v>
      </c>
    </row>
    <row r="76" ht="33" customHeight="1" spans="2:10">
      <c r="B76" s="4">
        <v>72</v>
      </c>
      <c r="C76" s="4" t="s">
        <v>195</v>
      </c>
      <c r="D76" s="4" t="s">
        <v>153</v>
      </c>
      <c r="E76" s="14" t="s">
        <v>89</v>
      </c>
      <c r="F76" s="5" t="s">
        <v>196</v>
      </c>
      <c r="G76" s="4" t="s">
        <v>43</v>
      </c>
      <c r="H76" s="4" t="s">
        <v>7</v>
      </c>
      <c r="I76" s="4" t="s">
        <v>44</v>
      </c>
      <c r="J76" s="4" t="s">
        <v>45</v>
      </c>
    </row>
    <row r="77" ht="27.75" customHeight="1" spans="2:10">
      <c r="B77" s="4">
        <v>73</v>
      </c>
      <c r="C77" s="4" t="s">
        <v>197</v>
      </c>
      <c r="D77" s="4" t="s">
        <v>153</v>
      </c>
      <c r="E77" s="14" t="s">
        <v>89</v>
      </c>
      <c r="F77" s="5" t="s">
        <v>198</v>
      </c>
      <c r="G77" s="4" t="s">
        <v>50</v>
      </c>
      <c r="H77" s="4" t="s">
        <v>7</v>
      </c>
      <c r="I77" s="4" t="s">
        <v>44</v>
      </c>
      <c r="J77" s="4" t="s">
        <v>45</v>
      </c>
    </row>
    <row r="78" ht="33" customHeight="1" spans="2:10">
      <c r="B78" s="4">
        <v>74</v>
      </c>
      <c r="C78" s="4" t="s">
        <v>199</v>
      </c>
      <c r="D78" s="4" t="s">
        <v>153</v>
      </c>
      <c r="E78" s="14" t="s">
        <v>89</v>
      </c>
      <c r="F78" s="5" t="s">
        <v>200</v>
      </c>
      <c r="G78" s="4" t="s">
        <v>111</v>
      </c>
      <c r="H78" s="4" t="s">
        <v>7</v>
      </c>
      <c r="I78" s="4" t="s">
        <v>44</v>
      </c>
      <c r="J78" s="4" t="s">
        <v>62</v>
      </c>
    </row>
    <row r="79" ht="33" customHeight="1" spans="2:10">
      <c r="B79" s="4">
        <v>75</v>
      </c>
      <c r="C79" s="4" t="s">
        <v>201</v>
      </c>
      <c r="D79" s="4" t="s">
        <v>153</v>
      </c>
      <c r="E79" s="15" t="s">
        <v>98</v>
      </c>
      <c r="F79" s="5" t="s">
        <v>202</v>
      </c>
      <c r="G79" s="4" t="s">
        <v>50</v>
      </c>
      <c r="H79" s="4" t="s">
        <v>7</v>
      </c>
      <c r="I79" s="4" t="s">
        <v>44</v>
      </c>
      <c r="J79" s="4" t="s">
        <v>62</v>
      </c>
    </row>
  </sheetData>
  <autoFilter xmlns:etc="http://www.wps.cn/officeDocument/2017/etCustomData" ref="B4:J79" etc:filterBottomFollowUsedRange="0">
    <extLst/>
  </autoFilter>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H26"/>
  <sheetViews>
    <sheetView showGridLines="0" workbookViewId="0">
      <selection activeCell="A1" sqref="A1"/>
    </sheetView>
  </sheetViews>
  <sheetFormatPr defaultColWidth="8.67619047619048" defaultRowHeight="15" outlineLevelCol="7"/>
  <cols>
    <col min="1" max="1" width="4" customWidth="1"/>
    <col min="2" max="2" width="6" customWidth="1"/>
    <col min="3" max="3" width="26" customWidth="1"/>
    <col min="4" max="4" width="36" customWidth="1"/>
    <col min="5" max="5" width="34" customWidth="1"/>
    <col min="6" max="6" width="60" customWidth="1"/>
    <col min="7" max="7" width="14" customWidth="1"/>
    <col min="8" max="8" width="28" customWidth="1"/>
  </cols>
  <sheetData>
    <row r="2" ht="21.75" customHeight="1" spans="2:8">
      <c r="B2" s="1" t="s">
        <v>203</v>
      </c>
    </row>
    <row r="4" ht="30" customHeight="1" spans="2:8">
      <c r="B4" s="3" t="s">
        <v>30</v>
      </c>
      <c r="C4" s="3" t="s">
        <v>204</v>
      </c>
      <c r="D4" s="3" t="s">
        <v>205</v>
      </c>
      <c r="E4" s="3" t="s">
        <v>206</v>
      </c>
      <c r="F4" s="3" t="s">
        <v>207</v>
      </c>
      <c r="G4" s="3" t="s">
        <v>208</v>
      </c>
      <c r="H4" s="3" t="s">
        <v>209</v>
      </c>
    </row>
    <row r="5" spans="2:8">
      <c r="B5" s="16" t="s">
        <v>210</v>
      </c>
    </row>
    <row r="6" ht="33.75" customHeight="1" spans="2:8">
      <c r="B6" s="4">
        <v>1</v>
      </c>
      <c r="C6" s="4" t="s">
        <v>211</v>
      </c>
      <c r="D6" s="5" t="s">
        <v>212</v>
      </c>
      <c r="E6" s="5" t="s">
        <v>213</v>
      </c>
      <c r="F6" s="5" t="s">
        <v>214</v>
      </c>
      <c r="G6" s="4">
        <f>COUNTIF('TC_Chức Năng 1'!$C$5:$C$29,"TC_GMAIL_01_VIS_01")+COUNTIF('TC_Chức Năng 1'!$C$5:$C$29,"TC_GMAIL_01_VIS_02")+COUNTIF('TC_Chức Năng 1'!$C$5:$C$29,"TC_GMAIL_01_VIS_03")+COUNTIF('TC_Chức Năng 1'!$C$5:$C$29,"TC_GMAIL_01_VIS_04")+COUNTIF('TC_Chức Năng 1'!$C$5:$C$29,"TC_GMAIL_01_VIS_05")</f>
        <v>5</v>
      </c>
      <c r="H6" s="4" t="s">
        <v>215</v>
      </c>
    </row>
    <row r="7" ht="33.75" customHeight="1" spans="2:8">
      <c r="B7" s="4">
        <v>2</v>
      </c>
      <c r="C7" s="4" t="s">
        <v>216</v>
      </c>
      <c r="D7" s="5" t="s">
        <v>217</v>
      </c>
      <c r="E7" s="5" t="s">
        <v>218</v>
      </c>
      <c r="F7" s="5" t="s">
        <v>219</v>
      </c>
      <c r="G7" s="4">
        <f>COUNTIF('TC_Chức Năng 1'!$C$5:$C$29,"TC_GMAIL_01_VAL_01")+COUNTIF('TC_Chức Năng 1'!$C$5:$C$29,"TC_GMAIL_01_VAL_02")+COUNTIF('TC_Chức Năng 1'!$C$5:$C$29,"TC_GMAIL_01_VAL_05")</f>
        <v>3</v>
      </c>
      <c r="H7" s="4" t="s">
        <v>220</v>
      </c>
    </row>
    <row r="8" ht="33.75" customHeight="1" spans="2:8">
      <c r="B8" s="4">
        <v>3</v>
      </c>
      <c r="C8" s="4" t="s">
        <v>221</v>
      </c>
      <c r="D8" s="5" t="s">
        <v>222</v>
      </c>
      <c r="E8" s="5" t="s">
        <v>223</v>
      </c>
      <c r="F8" s="5" t="s">
        <v>224</v>
      </c>
      <c r="G8" s="4">
        <f>COUNTIF('TC_Chức Năng 1'!$C$5:$C$29,"TC_GMAIL_01_VAL_03")+COUNTIF('TC_Chức Năng 1'!$C$5:$C$29,"TC_GMAIL_01_VAL_04")</f>
        <v>2</v>
      </c>
      <c r="H8" s="4" t="s">
        <v>225</v>
      </c>
    </row>
    <row r="9" ht="33.75" customHeight="1" spans="2:8">
      <c r="B9" s="4">
        <v>4</v>
      </c>
      <c r="C9" s="4" t="s">
        <v>226</v>
      </c>
      <c r="D9" s="5" t="s">
        <v>227</v>
      </c>
      <c r="E9" s="5" t="s">
        <v>228</v>
      </c>
      <c r="F9" s="5" t="s">
        <v>229</v>
      </c>
      <c r="G9" s="4">
        <f>COUNTIF('TC_Chức Năng 1'!$C$5:$C$29,"TC_GMAIL_01_FUN_01")+COUNTIF('TC_Chức Năng 1'!$C$5:$C$29,"TC_GMAIL_01_FUN_02")+COUNTIF('TC_Chức Năng 1'!$C$5:$C$29,"TC_GMAIL_01_FUN_03")</f>
        <v>3</v>
      </c>
      <c r="H9" s="4" t="s">
        <v>230</v>
      </c>
    </row>
    <row r="10" ht="33.75" customHeight="1" spans="2:8">
      <c r="B10" s="4">
        <v>5</v>
      </c>
      <c r="C10" s="4" t="s">
        <v>231</v>
      </c>
      <c r="D10" s="5" t="s">
        <v>232</v>
      </c>
      <c r="E10" s="5" t="s">
        <v>228</v>
      </c>
      <c r="F10" s="5" t="s">
        <v>233</v>
      </c>
      <c r="G10" s="4">
        <f>COUNTIF('TC_Chức Năng 1'!$C$5:$C$29,"TC_GMAIL_01_FUN_04")+COUNTIF('TC_Chức Năng 1'!$C$5:$C$29,"TC_GMAIL_01_FUN_05")+COUNTIF('TC_Chức Năng 1'!$C$5:$C$29,"TC_GMAIL_01_FUN_06")+COUNTIF('TC_Chức Năng 1'!$C$5:$C$29,"TC_GMAIL_01_FUN_07")</f>
        <v>4</v>
      </c>
      <c r="H10" s="4" t="s">
        <v>230</v>
      </c>
    </row>
    <row r="11" ht="33.75" customHeight="1" spans="2:8">
      <c r="B11" s="4">
        <v>6</v>
      </c>
      <c r="C11" s="4" t="s">
        <v>234</v>
      </c>
      <c r="D11" s="5" t="s">
        <v>235</v>
      </c>
      <c r="E11" s="5" t="s">
        <v>236</v>
      </c>
      <c r="F11" s="5" t="s">
        <v>237</v>
      </c>
      <c r="G11" s="4">
        <f>COUNTIF('TC_Chức Năng 1'!$C$5:$C$29,"TC_GMAIL_01_FUN_08")+COUNTIF('TC_Chức Năng 1'!$C$5:$C$29,"TC_GMAIL_01_FUN_09")+COUNTIF('TC_Chức Năng 1'!$C$5:$C$29,"TC_GMAIL_01_FUN_10")</f>
        <v>3</v>
      </c>
      <c r="H11" s="4" t="s">
        <v>238</v>
      </c>
    </row>
    <row r="12" ht="33.75" customHeight="1" spans="2:8">
      <c r="B12" s="4">
        <v>7</v>
      </c>
      <c r="C12" s="4" t="s">
        <v>239</v>
      </c>
      <c r="D12" s="5" t="s">
        <v>240</v>
      </c>
      <c r="E12" s="5" t="s">
        <v>241</v>
      </c>
      <c r="F12" s="5" t="s">
        <v>242</v>
      </c>
      <c r="G12" s="4">
        <f>COUNTIF('TC_Chức Năng 1'!$C$5:$C$29,"TC_GMAIL_01_NAV_01")+COUNTIF('TC_Chức Năng 1'!$C$5:$C$29,"TC_GMAIL_01_NAV_02")+COUNTIF('TC_Chức Năng 1'!$C$5:$C$29,"TC_GMAIL_01_NAV_03")+COUNTIF('TC_Chức Năng 1'!$C$5:$C$29,"TC_GMAIL_01_NAV_04")+COUNTIF('TC_Chức Năng 1'!$C$5:$C$29,"TC_GMAIL_01_EXC_01")</f>
        <v>5</v>
      </c>
      <c r="H12" s="4" t="s">
        <v>243</v>
      </c>
    </row>
    <row r="14" spans="2:8">
      <c r="B14" s="16" t="s">
        <v>244</v>
      </c>
    </row>
    <row r="15" ht="33.75" customHeight="1" spans="2:8">
      <c r="B15" s="4">
        <v>8</v>
      </c>
      <c r="C15" s="4" t="s">
        <v>245</v>
      </c>
      <c r="D15" s="5" t="s">
        <v>246</v>
      </c>
      <c r="E15" s="5" t="s">
        <v>213</v>
      </c>
      <c r="F15" s="5" t="s">
        <v>247</v>
      </c>
      <c r="G15" s="4">
        <f>COUNTIF('TC_Chức Năng 2'!$C$5:$C$29,"TC_GMAIL_02_VIS_01")+COUNTIF('TC_Chức Năng 2'!$C$5:$C$29,"TC_GMAIL_02_VIS_02")+COUNTIF('TC_Chức Năng 2'!$C$5:$C$29,"TC_GMAIL_02_VIS_03")+COUNTIF('TC_Chức Năng 2'!$C$5:$C$29,"TC_GMAIL_02_VIS_04")+COUNTIF('TC_Chức Năng 2'!$C$5:$C$29,"TC_GMAIL_02_VIS_05")</f>
        <v>5</v>
      </c>
      <c r="H15" s="4" t="s">
        <v>215</v>
      </c>
    </row>
    <row r="16" ht="33.75" customHeight="1" spans="2:8">
      <c r="B16" s="4">
        <v>9</v>
      </c>
      <c r="C16" s="4" t="s">
        <v>248</v>
      </c>
      <c r="D16" s="5" t="s">
        <v>249</v>
      </c>
      <c r="E16" s="5" t="s">
        <v>250</v>
      </c>
      <c r="F16" s="5" t="s">
        <v>251</v>
      </c>
      <c r="G16" s="4">
        <f>COUNTIF('TC_Chức Năng 2'!$C$5:$C$29,"TC_GMAIL_02_VAL_01")+COUNTIF('TC_Chức Năng 2'!$C$5:$C$29,"TC_GMAIL_02_VAL_02")+COUNTIF('TC_Chức Năng 2'!$C$5:$C$29,"TC_GMAIL_02_VAL_03")+COUNTIF('TC_Chức Năng 2'!$C$5:$C$29,"TC_GMAIL_02_VAL_04")+COUNTIF('TC_Chức Năng 2'!$C$5:$C$29,"TC_GMAIL_02_VAL_05")</f>
        <v>5</v>
      </c>
      <c r="H16" s="4" t="s">
        <v>252</v>
      </c>
    </row>
    <row r="17" ht="33.75" customHeight="1" spans="2:8">
      <c r="B17" s="4">
        <v>10</v>
      </c>
      <c r="C17" s="4" t="s">
        <v>253</v>
      </c>
      <c r="D17" s="5" t="s">
        <v>254</v>
      </c>
      <c r="E17" s="5" t="s">
        <v>255</v>
      </c>
      <c r="F17" s="5" t="s">
        <v>256</v>
      </c>
      <c r="G17" s="4">
        <f>COUNTIF('TC_Chức Năng 2'!$C$5:$C$29,"TC_GMAIL_02_FUN_01")+COUNTIF('TC_Chức Năng 2'!$C$5:$C$29,"TC_GMAIL_02_FUN_02")+COUNTIF('TC_Chức Năng 2'!$C$5:$C$29,"TC_GMAIL_02_FUN_03")+COUNTIF('TC_Chức Năng 2'!$C$5:$C$29,"TC_GMAIL_02_FUN_04")+COUNTIF('TC_Chức Năng 2'!$C$5:$C$29,"TC_GMAIL_02_FUN_05")+COUNTIF('TC_Chức Năng 2'!$C$5:$C$29,"TC_GMAIL_02_FUN_06")+COUNTIF('TC_Chức Năng 2'!$C$5:$C$29,"TC_GMAIL_02_FUN_07")+COUNTIF('TC_Chức Năng 2'!$C$5:$C$29,"TC_GMAIL_02_FUN_10")</f>
        <v>8</v>
      </c>
      <c r="H17" s="4" t="s">
        <v>230</v>
      </c>
    </row>
    <row r="18" ht="33.75" customHeight="1" spans="2:8">
      <c r="B18" s="4">
        <v>11</v>
      </c>
      <c r="C18" s="4" t="s">
        <v>257</v>
      </c>
      <c r="D18" s="5" t="s">
        <v>258</v>
      </c>
      <c r="E18" s="5" t="s">
        <v>259</v>
      </c>
      <c r="F18" s="5" t="s">
        <v>260</v>
      </c>
      <c r="G18" s="4">
        <f>COUNTIF('TC_Chức Năng 2'!$C$5:$C$29,"TC_GMAIL_02_FUN_08")+COUNTIF('TC_Chức Năng 2'!$C$5:$C$29,"TC_GMAIL_02_FUN_09")</f>
        <v>2</v>
      </c>
      <c r="H18" s="4" t="s">
        <v>230</v>
      </c>
    </row>
    <row r="19" ht="33.75" customHeight="1" spans="2:8">
      <c r="B19" s="4">
        <v>12</v>
      </c>
      <c r="C19" s="4" t="s">
        <v>261</v>
      </c>
      <c r="D19" s="5" t="s">
        <v>262</v>
      </c>
      <c r="E19" s="5" t="s">
        <v>241</v>
      </c>
      <c r="F19" s="5" t="s">
        <v>263</v>
      </c>
      <c r="G19" s="4">
        <f>COUNTIF('TC_Chức Năng 2'!$C$5:$C$29,"TC_GMAIL_02_NAV_01")+COUNTIF('TC_Chức Năng 2'!$C$5:$C$29,"TC_GMAIL_02_NAV_02")+COUNTIF('TC_Chức Năng 2'!$C$5:$C$29,"TC_GMAIL_02_NAV_03")+COUNTIF('TC_Chức Năng 2'!$C$5:$C$29,"TC_GMAIL_02_NAV_04")+COUNTIF('TC_Chức Năng 2'!$C$5:$C$29,"TC_GMAIL_02_EXC_01")</f>
        <v>5</v>
      </c>
      <c r="H19" s="4" t="s">
        <v>264</v>
      </c>
    </row>
    <row r="21" spans="2:8">
      <c r="B21" s="16" t="s">
        <v>265</v>
      </c>
    </row>
    <row r="22" ht="33.75" customHeight="1" spans="2:8">
      <c r="B22" s="4">
        <v>13</v>
      </c>
      <c r="C22" s="4" t="s">
        <v>266</v>
      </c>
      <c r="D22" s="5" t="s">
        <v>267</v>
      </c>
      <c r="E22" s="5" t="s">
        <v>213</v>
      </c>
      <c r="F22" s="5" t="s">
        <v>268</v>
      </c>
      <c r="G22" s="4">
        <f>COUNTIF('TC_Chức Năng 3'!$C$5:$C$29,"TC_GMAIL_03_VIS_01")+COUNTIF('TC_Chức Năng 3'!$C$5:$C$29,"TC_GMAIL_03_VIS_02")+COUNTIF('TC_Chức Năng 3'!$C$5:$C$29,"TC_GMAIL_03_VIS_03")+COUNTIF('TC_Chức Năng 3'!$C$5:$C$29,"TC_GMAIL_03_VIS_04")+COUNTIF('TC_Chức Năng 3'!$C$5:$C$29,"TC_GMAIL_03_VIS_05")</f>
        <v>5</v>
      </c>
      <c r="H22" s="4" t="s">
        <v>215</v>
      </c>
    </row>
    <row r="23" ht="33.75" customHeight="1" spans="2:8">
      <c r="B23" s="4">
        <v>14</v>
      </c>
      <c r="C23" s="4" t="s">
        <v>269</v>
      </c>
      <c r="D23" s="5" t="s">
        <v>270</v>
      </c>
      <c r="E23" s="5" t="s">
        <v>250</v>
      </c>
      <c r="F23" s="5" t="s">
        <v>271</v>
      </c>
      <c r="G23" s="4">
        <f>COUNTIF('TC_Chức Năng 3'!$C$5:$C$29,"TC_GMAIL_03_VAL_01")+COUNTIF('TC_Chức Năng 3'!$C$5:$C$29,"TC_GMAIL_03_VAL_02")+COUNTIF('TC_Chức Năng 3'!$C$5:$C$29,"TC_GMAIL_03_VAL_03")+COUNTIF('TC_Chức Năng 3'!$C$5:$C$29,"TC_GMAIL_03_VAL_04")+COUNTIF('TC_Chức Năng 3'!$C$5:$C$29,"TC_GMAIL_03_VAL_05")</f>
        <v>5</v>
      </c>
      <c r="H23" s="4" t="s">
        <v>252</v>
      </c>
    </row>
    <row r="24" ht="33.75" customHeight="1" spans="2:8">
      <c r="B24" s="4">
        <v>15</v>
      </c>
      <c r="C24" s="4" t="s">
        <v>272</v>
      </c>
      <c r="D24" s="5" t="s">
        <v>273</v>
      </c>
      <c r="E24" s="5" t="s">
        <v>236</v>
      </c>
      <c r="F24" s="5" t="s">
        <v>274</v>
      </c>
      <c r="G24" s="4">
        <f>COUNTIF('TC_Chức Năng 3'!$C$5:$C$29,"TC_GMAIL_03_FUN_01")+COUNTIF('TC_Chức Năng 3'!$C$5:$C$29,"TC_GMAIL_03_FUN_02")+COUNTIF('TC_Chức Năng 3'!$C$5:$C$29,"TC_GMAIL_03_FUN_03")+COUNTIF('TC_Chức Năng 3'!$C$5:$C$29,"TC_GMAIL_03_FUN_04")+COUNTIF('TC_Chức Năng 3'!$C$5:$C$29,"TC_GMAIL_03_FUN_06")+COUNTIF('TC_Chức Năng 3'!$C$5:$C$29,"TC_GMAIL_03_FUN_07")+COUNTIF('TC_Chức Năng 3'!$C$5:$C$29,"TC_GMAIL_03_FUN_08")</f>
        <v>7</v>
      </c>
      <c r="H24" s="4" t="s">
        <v>230</v>
      </c>
    </row>
    <row r="25" ht="33.75" customHeight="1" spans="2:8">
      <c r="B25" s="4">
        <v>16</v>
      </c>
      <c r="C25" s="4" t="s">
        <v>275</v>
      </c>
      <c r="D25" s="5" t="s">
        <v>276</v>
      </c>
      <c r="E25" s="5" t="s">
        <v>228</v>
      </c>
      <c r="F25" s="5" t="s">
        <v>277</v>
      </c>
      <c r="G25" s="4">
        <f>COUNTIF('TC_Chức Năng 3'!$C$5:$C$29,"TC_GMAIL_03_FUN_05")+COUNTIF('TC_Chức Năng 3'!$C$5:$C$29,"TC_GMAIL_03_FUN_09")+COUNTIF('TC_Chức Năng 3'!$C$5:$C$29,"TC_GMAIL_03_FUN_10")</f>
        <v>3</v>
      </c>
      <c r="H25" s="4" t="s">
        <v>230</v>
      </c>
    </row>
    <row r="26" ht="33.75" customHeight="1" spans="2:8">
      <c r="B26" s="4">
        <v>17</v>
      </c>
      <c r="C26" s="4" t="s">
        <v>278</v>
      </c>
      <c r="D26" s="5" t="s">
        <v>262</v>
      </c>
      <c r="E26" s="5" t="s">
        <v>241</v>
      </c>
      <c r="F26" s="5" t="s">
        <v>279</v>
      </c>
      <c r="G26" s="4">
        <f>COUNTIF('TC_Chức Năng 3'!$C$5:$C$29,"TC_GMAIL_03_NAV_01")+COUNTIF('TC_Chức Năng 3'!$C$5:$C$29,"TC_GMAIL_03_NAV_02")+COUNTIF('TC_Chức Năng 3'!$C$5:$C$29,"TC_GMAIL_03_NAV_03")+COUNTIF('TC_Chức Năng 3'!$C$5:$C$29,"TC_GMAIL_03_NAV_04")+COUNTIF('TC_Chức Năng 3'!$C$5:$C$29,"TC_GMAIL_03_EXC_01")</f>
        <v>5</v>
      </c>
      <c r="H26" s="4" t="s">
        <v>264</v>
      </c>
    </row>
  </sheetData>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9"/>
  <sheetViews>
    <sheetView showGridLines="0" workbookViewId="0">
      <pane xSplit="3" ySplit="4" topLeftCell="D5" activePane="bottomRight" state="frozen"/>
      <selection/>
      <selection pane="topRight"/>
      <selection pane="bottomLeft"/>
      <selection pane="bottomRight" activeCell="A1" sqref="A1"/>
    </sheetView>
  </sheetViews>
  <sheetFormatPr defaultColWidth="8.67619047619048" defaultRowHeight="15"/>
  <cols>
    <col min="1" max="1" width="4" customWidth="1"/>
    <col min="2" max="2" width="6" customWidth="1"/>
    <col min="3" max="3" width="24" customWidth="1"/>
    <col min="4" max="4" width="14" customWidth="1"/>
    <col min="5" max="5" width="15" customWidth="1"/>
    <col min="6" max="6" width="40" customWidth="1"/>
    <col min="7" max="7" width="34" customWidth="1"/>
    <col min="8" max="8" width="48" customWidth="1"/>
    <col min="9" max="9" width="30" customWidth="1"/>
    <col min="10" max="10" width="52" customWidth="1"/>
    <col min="11" max="11" width="11" customWidth="1"/>
    <col min="12" max="12" width="12" customWidth="1"/>
    <col min="13" max="13" width="30" customWidth="1"/>
    <col min="14" max="14" width="16" customWidth="1"/>
    <col min="15" max="15" width="12" customWidth="1"/>
    <col min="16" max="16" width="46" customWidth="1"/>
  </cols>
  <sheetData>
    <row r="2" ht="21.75" customHeight="1" spans="2:16">
      <c r="B2" s="1" t="s">
        <v>280</v>
      </c>
    </row>
    <row r="4" ht="30" customHeight="1" spans="2:16">
      <c r="B4" s="3" t="s">
        <v>30</v>
      </c>
      <c r="C4" s="3" t="s">
        <v>281</v>
      </c>
      <c r="D4" s="3" t="s">
        <v>32</v>
      </c>
      <c r="E4" s="3" t="s">
        <v>282</v>
      </c>
      <c r="F4" s="3" t="s">
        <v>283</v>
      </c>
      <c r="G4" s="3" t="s">
        <v>284</v>
      </c>
      <c r="H4" s="3" t="s">
        <v>285</v>
      </c>
      <c r="I4" s="3" t="s">
        <v>286</v>
      </c>
      <c r="J4" s="3" t="s">
        <v>287</v>
      </c>
      <c r="K4" s="3" t="s">
        <v>35</v>
      </c>
      <c r="L4" s="3" t="s">
        <v>37</v>
      </c>
      <c r="M4" s="3" t="s">
        <v>288</v>
      </c>
      <c r="N4" s="3" t="s">
        <v>289</v>
      </c>
      <c r="O4" s="3" t="s">
        <v>290</v>
      </c>
      <c r="P4" s="3" t="s">
        <v>209</v>
      </c>
    </row>
    <row r="5" ht="60" customHeight="1" spans="2:16">
      <c r="B5" s="4">
        <v>1</v>
      </c>
      <c r="C5" s="4" t="s">
        <v>39</v>
      </c>
      <c r="D5" s="4" t="s">
        <v>40</v>
      </c>
      <c r="E5" s="11" t="s">
        <v>41</v>
      </c>
      <c r="F5" s="5" t="s">
        <v>42</v>
      </c>
      <c r="G5" s="5" t="s">
        <v>291</v>
      </c>
      <c r="H5" s="5" t="s">
        <v>292</v>
      </c>
      <c r="I5" s="5" t="s">
        <v>293</v>
      </c>
      <c r="J5" s="5" t="s">
        <v>294</v>
      </c>
      <c r="K5" s="4" t="s">
        <v>43</v>
      </c>
      <c r="L5" s="4" t="s">
        <v>44</v>
      </c>
      <c r="M5" s="5"/>
      <c r="N5" s="4" t="s">
        <v>295</v>
      </c>
      <c r="O5" s="4"/>
      <c r="P5" s="5" t="s">
        <v>296</v>
      </c>
    </row>
    <row r="6" ht="60" customHeight="1" spans="2:16">
      <c r="B6" s="4">
        <v>2</v>
      </c>
      <c r="C6" s="4" t="s">
        <v>46</v>
      </c>
      <c r="D6" s="4" t="s">
        <v>40</v>
      </c>
      <c r="E6" s="11" t="s">
        <v>41</v>
      </c>
      <c r="F6" s="5" t="s">
        <v>47</v>
      </c>
      <c r="G6" s="5" t="s">
        <v>297</v>
      </c>
      <c r="H6" s="5" t="s">
        <v>298</v>
      </c>
      <c r="I6" s="5" t="s">
        <v>293</v>
      </c>
      <c r="J6" s="5" t="s">
        <v>299</v>
      </c>
      <c r="K6" s="4" t="s">
        <v>43</v>
      </c>
      <c r="L6" s="4" t="s">
        <v>44</v>
      </c>
      <c r="M6" s="5"/>
      <c r="N6" s="4" t="s">
        <v>295</v>
      </c>
      <c r="O6" s="4"/>
      <c r="P6" s="5" t="s">
        <v>300</v>
      </c>
    </row>
    <row r="7" ht="60" customHeight="1" spans="2:16">
      <c r="B7" s="4">
        <v>3</v>
      </c>
      <c r="C7" s="4" t="s">
        <v>48</v>
      </c>
      <c r="D7" s="4" t="s">
        <v>40</v>
      </c>
      <c r="E7" s="11" t="s">
        <v>41</v>
      </c>
      <c r="F7" s="5" t="s">
        <v>49</v>
      </c>
      <c r="G7" s="5" t="s">
        <v>301</v>
      </c>
      <c r="H7" s="5" t="s">
        <v>302</v>
      </c>
      <c r="I7" s="5" t="s">
        <v>293</v>
      </c>
      <c r="J7" s="5" t="s">
        <v>303</v>
      </c>
      <c r="K7" s="4" t="s">
        <v>50</v>
      </c>
      <c r="L7" s="4" t="s">
        <v>44</v>
      </c>
      <c r="M7" s="5"/>
      <c r="N7" s="4" t="s">
        <v>295</v>
      </c>
      <c r="O7" s="4"/>
      <c r="P7" s="5" t="s">
        <v>304</v>
      </c>
    </row>
    <row r="8" ht="60" customHeight="1" spans="2:16">
      <c r="B8" s="4">
        <v>4</v>
      </c>
      <c r="C8" s="4" t="s">
        <v>51</v>
      </c>
      <c r="D8" s="4" t="s">
        <v>40</v>
      </c>
      <c r="E8" s="11" t="s">
        <v>41</v>
      </c>
      <c r="F8" s="5" t="s">
        <v>52</v>
      </c>
      <c r="G8" s="5" t="s">
        <v>305</v>
      </c>
      <c r="H8" s="5" t="s">
        <v>306</v>
      </c>
      <c r="I8" s="5" t="s">
        <v>307</v>
      </c>
      <c r="J8" s="5" t="s">
        <v>308</v>
      </c>
      <c r="K8" s="4" t="s">
        <v>43</v>
      </c>
      <c r="L8" s="4" t="s">
        <v>44</v>
      </c>
      <c r="M8" s="5"/>
      <c r="N8" s="4" t="s">
        <v>295</v>
      </c>
      <c r="O8" s="4"/>
      <c r="P8" s="5" t="s">
        <v>309</v>
      </c>
    </row>
    <row r="9" ht="46.5" customHeight="1" spans="2:16">
      <c r="B9" s="4">
        <v>5</v>
      </c>
      <c r="C9" s="4" t="s">
        <v>53</v>
      </c>
      <c r="D9" s="4" t="s">
        <v>40</v>
      </c>
      <c r="E9" s="11" t="s">
        <v>41</v>
      </c>
      <c r="F9" s="5" t="s">
        <v>54</v>
      </c>
      <c r="G9" s="5" t="s">
        <v>310</v>
      </c>
      <c r="H9" s="5" t="s">
        <v>311</v>
      </c>
      <c r="I9" s="5" t="s">
        <v>312</v>
      </c>
      <c r="J9" s="5" t="s">
        <v>313</v>
      </c>
      <c r="K9" s="4" t="s">
        <v>50</v>
      </c>
      <c r="L9" s="4" t="s">
        <v>44</v>
      </c>
      <c r="M9" s="5"/>
      <c r="N9" s="4" t="s">
        <v>295</v>
      </c>
      <c r="O9" s="4"/>
      <c r="P9" s="5" t="s">
        <v>314</v>
      </c>
    </row>
    <row r="10" ht="46.5" customHeight="1" spans="2:16">
      <c r="B10" s="4">
        <v>6</v>
      </c>
      <c r="C10" s="4" t="s">
        <v>55</v>
      </c>
      <c r="D10" s="4" t="s">
        <v>40</v>
      </c>
      <c r="E10" s="12" t="s">
        <v>56</v>
      </c>
      <c r="F10" s="5" t="s">
        <v>57</v>
      </c>
      <c r="G10" s="5" t="s">
        <v>315</v>
      </c>
      <c r="H10" s="5" t="s">
        <v>316</v>
      </c>
      <c r="I10" s="5" t="s">
        <v>317</v>
      </c>
      <c r="J10" s="5" t="s">
        <v>318</v>
      </c>
      <c r="K10" s="4" t="s">
        <v>43</v>
      </c>
      <c r="L10" s="4" t="s">
        <v>44</v>
      </c>
      <c r="M10" s="5"/>
      <c r="N10" s="4" t="s">
        <v>295</v>
      </c>
      <c r="O10" s="4"/>
      <c r="P10" s="5" t="s">
        <v>319</v>
      </c>
    </row>
    <row r="11" ht="87" customHeight="1" spans="2:16">
      <c r="B11" s="4">
        <v>7</v>
      </c>
      <c r="C11" s="4" t="s">
        <v>58</v>
      </c>
      <c r="D11" s="4" t="s">
        <v>40</v>
      </c>
      <c r="E11" s="12" t="s">
        <v>56</v>
      </c>
      <c r="F11" s="5" t="s">
        <v>59</v>
      </c>
      <c r="G11" s="5" t="s">
        <v>320</v>
      </c>
      <c r="H11" s="5" t="s">
        <v>321</v>
      </c>
      <c r="I11" s="5" t="s">
        <v>322</v>
      </c>
      <c r="J11" s="5" t="s">
        <v>323</v>
      </c>
      <c r="K11" s="4" t="s">
        <v>50</v>
      </c>
      <c r="L11" s="4" t="s">
        <v>44</v>
      </c>
      <c r="M11" s="5"/>
      <c r="N11" s="4" t="s">
        <v>295</v>
      </c>
      <c r="O11" s="4"/>
      <c r="P11" s="5" t="s">
        <v>324</v>
      </c>
    </row>
    <row r="12" ht="46.5" customHeight="1" spans="2:16">
      <c r="B12" s="4">
        <v>8</v>
      </c>
      <c r="C12" s="4" t="s">
        <v>60</v>
      </c>
      <c r="D12" s="4" t="s">
        <v>40</v>
      </c>
      <c r="E12" s="12" t="s">
        <v>56</v>
      </c>
      <c r="F12" s="5" t="s">
        <v>61</v>
      </c>
      <c r="G12" s="5" t="s">
        <v>315</v>
      </c>
      <c r="H12" s="5" t="s">
        <v>325</v>
      </c>
      <c r="I12" s="5" t="s">
        <v>326</v>
      </c>
      <c r="J12" s="5" t="s">
        <v>327</v>
      </c>
      <c r="K12" s="4" t="s">
        <v>50</v>
      </c>
      <c r="L12" s="4" t="s">
        <v>44</v>
      </c>
      <c r="M12" s="5"/>
      <c r="N12" s="4" t="s">
        <v>295</v>
      </c>
      <c r="O12" s="4"/>
      <c r="P12" s="5" t="s">
        <v>328</v>
      </c>
    </row>
    <row r="13" ht="60" customHeight="1" spans="2:16">
      <c r="B13" s="4">
        <v>9</v>
      </c>
      <c r="C13" s="4" t="s">
        <v>63</v>
      </c>
      <c r="D13" s="4" t="s">
        <v>40</v>
      </c>
      <c r="E13" s="12" t="s">
        <v>56</v>
      </c>
      <c r="F13" s="5" t="s">
        <v>64</v>
      </c>
      <c r="G13" s="5" t="s">
        <v>329</v>
      </c>
      <c r="H13" s="5" t="s">
        <v>330</v>
      </c>
      <c r="I13" s="5" t="s">
        <v>331</v>
      </c>
      <c r="J13" s="5" t="s">
        <v>332</v>
      </c>
      <c r="K13" s="4" t="s">
        <v>50</v>
      </c>
      <c r="L13" s="4" t="s">
        <v>44</v>
      </c>
      <c r="M13" s="5"/>
      <c r="N13" s="4" t="s">
        <v>295</v>
      </c>
      <c r="O13" s="4"/>
      <c r="P13" s="5" t="s">
        <v>333</v>
      </c>
    </row>
    <row r="14" ht="46.5" customHeight="1" spans="2:16">
      <c r="B14" s="4">
        <v>10</v>
      </c>
      <c r="C14" s="4" t="s">
        <v>65</v>
      </c>
      <c r="D14" s="4" t="s">
        <v>40</v>
      </c>
      <c r="E14" s="12" t="s">
        <v>56</v>
      </c>
      <c r="F14" s="5" t="s">
        <v>66</v>
      </c>
      <c r="G14" s="5" t="s">
        <v>315</v>
      </c>
      <c r="H14" s="5" t="s">
        <v>334</v>
      </c>
      <c r="I14" s="5" t="s">
        <v>335</v>
      </c>
      <c r="J14" s="5" t="s">
        <v>336</v>
      </c>
      <c r="K14" s="4" t="s">
        <v>50</v>
      </c>
      <c r="L14" s="4" t="s">
        <v>44</v>
      </c>
      <c r="M14" s="5"/>
      <c r="N14" s="4" t="s">
        <v>295</v>
      </c>
      <c r="O14" s="4"/>
      <c r="P14" s="5" t="s">
        <v>337</v>
      </c>
    </row>
    <row r="15" ht="46.5" customHeight="1" spans="2:16">
      <c r="B15" s="4">
        <v>11</v>
      </c>
      <c r="C15" s="4" t="s">
        <v>67</v>
      </c>
      <c r="D15" s="4" t="s">
        <v>40</v>
      </c>
      <c r="E15" s="13" t="s">
        <v>68</v>
      </c>
      <c r="F15" s="5" t="s">
        <v>69</v>
      </c>
      <c r="G15" s="5" t="s">
        <v>315</v>
      </c>
      <c r="H15" s="5" t="s">
        <v>338</v>
      </c>
      <c r="I15" s="5" t="s">
        <v>339</v>
      </c>
      <c r="J15" s="5" t="s">
        <v>340</v>
      </c>
      <c r="K15" s="4" t="s">
        <v>43</v>
      </c>
      <c r="L15" s="4" t="s">
        <v>44</v>
      </c>
      <c r="M15" s="5"/>
      <c r="N15" s="4" t="s">
        <v>295</v>
      </c>
      <c r="O15" s="4"/>
      <c r="P15" s="5" t="s">
        <v>341</v>
      </c>
    </row>
    <row r="16" ht="46.5" customHeight="1" spans="2:16">
      <c r="B16" s="4">
        <v>12</v>
      </c>
      <c r="C16" s="4" t="s">
        <v>70</v>
      </c>
      <c r="D16" s="4" t="s">
        <v>40</v>
      </c>
      <c r="E16" s="13" t="s">
        <v>68</v>
      </c>
      <c r="F16" s="5" t="s">
        <v>71</v>
      </c>
      <c r="G16" s="5" t="s">
        <v>342</v>
      </c>
      <c r="H16" s="5" t="s">
        <v>343</v>
      </c>
      <c r="I16" s="5" t="s">
        <v>344</v>
      </c>
      <c r="J16" s="5" t="s">
        <v>345</v>
      </c>
      <c r="K16" s="4" t="s">
        <v>43</v>
      </c>
      <c r="L16" s="4" t="s">
        <v>44</v>
      </c>
      <c r="M16" s="5"/>
      <c r="N16" s="4" t="s">
        <v>295</v>
      </c>
      <c r="O16" s="4"/>
      <c r="P16" s="5" t="s">
        <v>346</v>
      </c>
    </row>
    <row r="17" ht="46.5" customHeight="1" spans="2:16">
      <c r="B17" s="4">
        <v>13</v>
      </c>
      <c r="C17" s="4" t="s">
        <v>72</v>
      </c>
      <c r="D17" s="4" t="s">
        <v>40</v>
      </c>
      <c r="E17" s="13" t="s">
        <v>68</v>
      </c>
      <c r="F17" s="5" t="s">
        <v>73</v>
      </c>
      <c r="G17" s="5" t="s">
        <v>347</v>
      </c>
      <c r="H17" s="5" t="s">
        <v>348</v>
      </c>
      <c r="I17" s="5" t="s">
        <v>349</v>
      </c>
      <c r="J17" s="5" t="s">
        <v>350</v>
      </c>
      <c r="K17" s="4" t="s">
        <v>43</v>
      </c>
      <c r="L17" s="4" t="s">
        <v>44</v>
      </c>
      <c r="M17" s="5"/>
      <c r="N17" s="4" t="s">
        <v>295</v>
      </c>
      <c r="O17" s="4"/>
      <c r="P17" s="5" t="s">
        <v>351</v>
      </c>
    </row>
    <row r="18" ht="46.5" customHeight="1" spans="2:16">
      <c r="B18" s="4">
        <v>14</v>
      </c>
      <c r="C18" s="4" t="s">
        <v>74</v>
      </c>
      <c r="D18" s="4" t="s">
        <v>40</v>
      </c>
      <c r="E18" s="13" t="s">
        <v>68</v>
      </c>
      <c r="F18" s="5" t="s">
        <v>75</v>
      </c>
      <c r="G18" s="5" t="s">
        <v>352</v>
      </c>
      <c r="H18" s="5" t="s">
        <v>353</v>
      </c>
      <c r="I18" s="5" t="s">
        <v>354</v>
      </c>
      <c r="J18" s="5" t="s">
        <v>355</v>
      </c>
      <c r="K18" s="4" t="s">
        <v>43</v>
      </c>
      <c r="L18" s="4" t="s">
        <v>44</v>
      </c>
      <c r="M18" s="5"/>
      <c r="N18" s="4" t="s">
        <v>295</v>
      </c>
      <c r="O18" s="4"/>
      <c r="P18" s="5" t="s">
        <v>356</v>
      </c>
    </row>
    <row r="19" ht="60" customHeight="1" spans="2:16">
      <c r="B19" s="4">
        <v>15</v>
      </c>
      <c r="C19" s="4" t="s">
        <v>76</v>
      </c>
      <c r="D19" s="4" t="s">
        <v>40</v>
      </c>
      <c r="E19" s="13" t="s">
        <v>68</v>
      </c>
      <c r="F19" s="5" t="s">
        <v>77</v>
      </c>
      <c r="G19" s="5" t="s">
        <v>357</v>
      </c>
      <c r="H19" s="5" t="s">
        <v>358</v>
      </c>
      <c r="I19" s="5" t="s">
        <v>359</v>
      </c>
      <c r="J19" s="5" t="s">
        <v>360</v>
      </c>
      <c r="K19" s="4" t="s">
        <v>50</v>
      </c>
      <c r="L19" s="4" t="s">
        <v>44</v>
      </c>
      <c r="M19" s="5"/>
      <c r="N19" s="4" t="s">
        <v>295</v>
      </c>
      <c r="O19" s="4"/>
      <c r="P19" s="5" t="s">
        <v>361</v>
      </c>
    </row>
    <row r="20" ht="46.5" customHeight="1" spans="2:16">
      <c r="B20" s="4">
        <v>16</v>
      </c>
      <c r="C20" s="4" t="s">
        <v>78</v>
      </c>
      <c r="D20" s="4" t="s">
        <v>40</v>
      </c>
      <c r="E20" s="13" t="s">
        <v>68</v>
      </c>
      <c r="F20" s="5" t="s">
        <v>79</v>
      </c>
      <c r="G20" s="5" t="s">
        <v>362</v>
      </c>
      <c r="H20" s="5" t="s">
        <v>363</v>
      </c>
      <c r="I20" s="5" t="s">
        <v>364</v>
      </c>
      <c r="J20" s="5" t="s">
        <v>365</v>
      </c>
      <c r="K20" s="4" t="s">
        <v>50</v>
      </c>
      <c r="L20" s="4" t="s">
        <v>44</v>
      </c>
      <c r="M20" s="5"/>
      <c r="N20" s="4" t="s">
        <v>295</v>
      </c>
      <c r="O20" s="4"/>
      <c r="P20" s="5" t="s">
        <v>366</v>
      </c>
    </row>
    <row r="21" ht="46.5" customHeight="1" spans="2:16">
      <c r="B21" s="4">
        <v>17</v>
      </c>
      <c r="C21" s="4" t="s">
        <v>80</v>
      </c>
      <c r="D21" s="4" t="s">
        <v>40</v>
      </c>
      <c r="E21" s="13" t="s">
        <v>68</v>
      </c>
      <c r="F21" s="5" t="s">
        <v>81</v>
      </c>
      <c r="G21" s="5" t="s">
        <v>367</v>
      </c>
      <c r="H21" s="5" t="s">
        <v>368</v>
      </c>
      <c r="I21" s="5" t="s">
        <v>369</v>
      </c>
      <c r="J21" s="5" t="s">
        <v>370</v>
      </c>
      <c r="K21" s="4" t="s">
        <v>43</v>
      </c>
      <c r="L21" s="4" t="s">
        <v>44</v>
      </c>
      <c r="M21" s="5"/>
      <c r="N21" s="4" t="s">
        <v>295</v>
      </c>
      <c r="O21" s="4"/>
      <c r="P21" s="5" t="s">
        <v>371</v>
      </c>
    </row>
    <row r="22" ht="60" customHeight="1" spans="2:16">
      <c r="B22" s="4">
        <v>18</v>
      </c>
      <c r="C22" s="4" t="s">
        <v>82</v>
      </c>
      <c r="D22" s="4" t="s">
        <v>40</v>
      </c>
      <c r="E22" s="13" t="s">
        <v>68</v>
      </c>
      <c r="F22" s="5" t="s">
        <v>83</v>
      </c>
      <c r="G22" s="5" t="s">
        <v>372</v>
      </c>
      <c r="H22" s="5" t="s">
        <v>373</v>
      </c>
      <c r="I22" s="5" t="s">
        <v>374</v>
      </c>
      <c r="J22" s="5" t="s">
        <v>375</v>
      </c>
      <c r="K22" s="4" t="s">
        <v>43</v>
      </c>
      <c r="L22" s="4" t="s">
        <v>44</v>
      </c>
      <c r="M22" s="5"/>
      <c r="N22" s="4" t="s">
        <v>295</v>
      </c>
      <c r="O22" s="4"/>
      <c r="P22" s="5" t="s">
        <v>376</v>
      </c>
    </row>
    <row r="23" ht="46.5" customHeight="1" spans="2:16">
      <c r="B23" s="4">
        <v>19</v>
      </c>
      <c r="C23" s="4" t="s">
        <v>84</v>
      </c>
      <c r="D23" s="4" t="s">
        <v>40</v>
      </c>
      <c r="E23" s="13" t="s">
        <v>68</v>
      </c>
      <c r="F23" s="5" t="s">
        <v>85</v>
      </c>
      <c r="G23" s="5" t="s">
        <v>377</v>
      </c>
      <c r="H23" s="5" t="s">
        <v>378</v>
      </c>
      <c r="I23" s="5" t="s">
        <v>379</v>
      </c>
      <c r="J23" s="5" t="s">
        <v>380</v>
      </c>
      <c r="K23" s="4" t="s">
        <v>50</v>
      </c>
      <c r="L23" s="4" t="s">
        <v>44</v>
      </c>
      <c r="M23" s="5"/>
      <c r="N23" s="4" t="s">
        <v>295</v>
      </c>
      <c r="O23" s="4"/>
      <c r="P23" s="5" t="s">
        <v>381</v>
      </c>
    </row>
    <row r="24" ht="60" customHeight="1" spans="2:16">
      <c r="B24" s="4">
        <v>20</v>
      </c>
      <c r="C24" s="4" t="s">
        <v>86</v>
      </c>
      <c r="D24" s="4" t="s">
        <v>40</v>
      </c>
      <c r="E24" s="13" t="s">
        <v>68</v>
      </c>
      <c r="F24" s="5" t="s">
        <v>87</v>
      </c>
      <c r="G24" s="5" t="s">
        <v>382</v>
      </c>
      <c r="H24" s="5" t="s">
        <v>383</v>
      </c>
      <c r="I24" s="5" t="s">
        <v>384</v>
      </c>
      <c r="J24" s="5" t="s">
        <v>385</v>
      </c>
      <c r="K24" s="4" t="s">
        <v>43</v>
      </c>
      <c r="L24" s="4" t="s">
        <v>44</v>
      </c>
      <c r="M24" s="5"/>
      <c r="N24" s="4" t="s">
        <v>295</v>
      </c>
      <c r="O24" s="4"/>
      <c r="P24" s="5" t="s">
        <v>386</v>
      </c>
    </row>
    <row r="25" ht="60" customHeight="1" spans="2:16">
      <c r="B25" s="4">
        <v>21</v>
      </c>
      <c r="C25" s="4" t="s">
        <v>88</v>
      </c>
      <c r="D25" s="4" t="s">
        <v>40</v>
      </c>
      <c r="E25" s="14" t="s">
        <v>89</v>
      </c>
      <c r="F25" s="5" t="s">
        <v>90</v>
      </c>
      <c r="G25" s="5" t="s">
        <v>387</v>
      </c>
      <c r="H25" s="5" t="s">
        <v>388</v>
      </c>
      <c r="I25" s="5" t="s">
        <v>389</v>
      </c>
      <c r="J25" s="5" t="s">
        <v>390</v>
      </c>
      <c r="K25" s="4" t="s">
        <v>43</v>
      </c>
      <c r="L25" s="4" t="s">
        <v>44</v>
      </c>
      <c r="M25" s="5"/>
      <c r="N25" s="4" t="s">
        <v>295</v>
      </c>
      <c r="O25" s="4"/>
      <c r="P25" s="5" t="s">
        <v>391</v>
      </c>
    </row>
    <row r="26" ht="60" customHeight="1" spans="2:16">
      <c r="B26" s="4">
        <v>22</v>
      </c>
      <c r="C26" s="4" t="s">
        <v>91</v>
      </c>
      <c r="D26" s="4" t="s">
        <v>40</v>
      </c>
      <c r="E26" s="14" t="s">
        <v>89</v>
      </c>
      <c r="F26" s="5" t="s">
        <v>92</v>
      </c>
      <c r="G26" s="5" t="s">
        <v>392</v>
      </c>
      <c r="H26" s="5" t="s">
        <v>393</v>
      </c>
      <c r="I26" s="5" t="s">
        <v>394</v>
      </c>
      <c r="J26" s="5" t="s">
        <v>395</v>
      </c>
      <c r="K26" s="4" t="s">
        <v>43</v>
      </c>
      <c r="L26" s="4" t="s">
        <v>44</v>
      </c>
      <c r="M26" s="5"/>
      <c r="N26" s="4" t="s">
        <v>295</v>
      </c>
      <c r="O26" s="4"/>
      <c r="P26" s="5" t="s">
        <v>396</v>
      </c>
    </row>
    <row r="27" ht="46.5" customHeight="1" spans="2:16">
      <c r="B27" s="4">
        <v>23</v>
      </c>
      <c r="C27" s="4" t="s">
        <v>93</v>
      </c>
      <c r="D27" s="4" t="s">
        <v>40</v>
      </c>
      <c r="E27" s="14" t="s">
        <v>89</v>
      </c>
      <c r="F27" s="5" t="s">
        <v>94</v>
      </c>
      <c r="G27" s="5" t="s">
        <v>397</v>
      </c>
      <c r="H27" s="5" t="s">
        <v>398</v>
      </c>
      <c r="I27" s="5" t="s">
        <v>399</v>
      </c>
      <c r="J27" s="5" t="s">
        <v>400</v>
      </c>
      <c r="K27" s="4" t="s">
        <v>50</v>
      </c>
      <c r="L27" s="4" t="s">
        <v>44</v>
      </c>
      <c r="M27" s="5"/>
      <c r="N27" s="4" t="s">
        <v>295</v>
      </c>
      <c r="O27" s="4"/>
      <c r="P27" s="5" t="s">
        <v>401</v>
      </c>
    </row>
    <row r="28" ht="73.5" customHeight="1" spans="2:16">
      <c r="B28" s="4">
        <v>24</v>
      </c>
      <c r="C28" s="4" t="s">
        <v>95</v>
      </c>
      <c r="D28" s="4" t="s">
        <v>40</v>
      </c>
      <c r="E28" s="14" t="s">
        <v>89</v>
      </c>
      <c r="F28" s="5" t="s">
        <v>96</v>
      </c>
      <c r="G28" s="5" t="s">
        <v>402</v>
      </c>
      <c r="H28" s="5" t="s">
        <v>403</v>
      </c>
      <c r="I28" s="5" t="s">
        <v>404</v>
      </c>
      <c r="J28" s="5" t="s">
        <v>405</v>
      </c>
      <c r="K28" s="4" t="s">
        <v>43</v>
      </c>
      <c r="L28" s="4" t="s">
        <v>44</v>
      </c>
      <c r="M28" s="5"/>
      <c r="N28" s="4" t="s">
        <v>295</v>
      </c>
      <c r="O28" s="4"/>
      <c r="P28" s="5" t="s">
        <v>406</v>
      </c>
    </row>
    <row r="29" ht="60" customHeight="1" spans="2:16">
      <c r="B29" s="4">
        <v>25</v>
      </c>
      <c r="C29" s="4" t="s">
        <v>97</v>
      </c>
      <c r="D29" s="4" t="s">
        <v>40</v>
      </c>
      <c r="E29" s="15" t="s">
        <v>98</v>
      </c>
      <c r="F29" s="5" t="s">
        <v>99</v>
      </c>
      <c r="G29" s="5" t="s">
        <v>407</v>
      </c>
      <c r="H29" s="5" t="s">
        <v>408</v>
      </c>
      <c r="I29" s="5" t="s">
        <v>409</v>
      </c>
      <c r="J29" s="5" t="s">
        <v>410</v>
      </c>
      <c r="K29" s="4" t="s">
        <v>50</v>
      </c>
      <c r="L29" s="4" t="s">
        <v>44</v>
      </c>
      <c r="M29" s="5"/>
      <c r="N29" s="4" t="s">
        <v>295</v>
      </c>
      <c r="O29" s="4"/>
      <c r="P29" s="5" t="s">
        <v>411</v>
      </c>
    </row>
  </sheetData>
  <autoFilter xmlns:etc="http://www.wps.cn/officeDocument/2017/etCustomData" ref="B4:P29" etc:filterBottomFollowUsedRange="0">
    <extLst/>
  </autoFilter>
  <conditionalFormatting sqref="N5:N29">
    <cfRule type="cellIs" dxfId="0" priority="2" operator="equal">
      <formula>"Pass"</formula>
    </cfRule>
    <cfRule type="cellIs" dxfId="1" priority="3" operator="equal">
      <formula>"Fail"</formula>
    </cfRule>
    <cfRule type="cellIs" dxfId="2" priority="4" operator="equal">
      <formula>"Blocked"</formula>
    </cfRule>
  </conditionalFormatting>
  <dataValidations count="1">
    <dataValidation type="list" allowBlank="1" sqref="N5:N29">
      <formula1>"Pass,Fail,Untested,Blocked,N/A"</formula1>
    </dataValidation>
  </dataValidation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9"/>
  <sheetViews>
    <sheetView showGridLines="0" workbookViewId="0">
      <pane xSplit="3" ySplit="4" topLeftCell="D5" activePane="bottomRight" state="frozen"/>
      <selection/>
      <selection pane="topRight"/>
      <selection pane="bottomLeft"/>
      <selection pane="bottomRight" activeCell="A1" sqref="A1"/>
    </sheetView>
  </sheetViews>
  <sheetFormatPr defaultColWidth="8.67619047619048" defaultRowHeight="15"/>
  <cols>
    <col min="1" max="1" width="4" customWidth="1"/>
    <col min="2" max="2" width="6" customWidth="1"/>
    <col min="3" max="3" width="24" customWidth="1"/>
    <col min="4" max="4" width="14" customWidth="1"/>
    <col min="5" max="5" width="15" customWidth="1"/>
    <col min="6" max="6" width="40" customWidth="1"/>
    <col min="7" max="7" width="34" customWidth="1"/>
    <col min="8" max="8" width="48" customWidth="1"/>
    <col min="9" max="9" width="30" customWidth="1"/>
    <col min="10" max="10" width="52" customWidth="1"/>
    <col min="11" max="11" width="11" customWidth="1"/>
    <col min="12" max="12" width="12" customWidth="1"/>
    <col min="13" max="13" width="30" customWidth="1"/>
    <col min="14" max="14" width="16" customWidth="1"/>
    <col min="15" max="15" width="12" customWidth="1"/>
    <col min="16" max="16" width="46" customWidth="1"/>
  </cols>
  <sheetData>
    <row r="2" ht="21.75" customHeight="1" spans="2:16">
      <c r="B2" s="1" t="s">
        <v>412</v>
      </c>
    </row>
    <row r="4" ht="30" customHeight="1" spans="2:16">
      <c r="B4" s="3" t="s">
        <v>30</v>
      </c>
      <c r="C4" s="3" t="s">
        <v>281</v>
      </c>
      <c r="D4" s="3" t="s">
        <v>32</v>
      </c>
      <c r="E4" s="3" t="s">
        <v>282</v>
      </c>
      <c r="F4" s="3" t="s">
        <v>283</v>
      </c>
      <c r="G4" s="3" t="s">
        <v>284</v>
      </c>
      <c r="H4" s="3" t="s">
        <v>285</v>
      </c>
      <c r="I4" s="3" t="s">
        <v>286</v>
      </c>
      <c r="J4" s="3" t="s">
        <v>287</v>
      </c>
      <c r="K4" s="3" t="s">
        <v>35</v>
      </c>
      <c r="L4" s="3" t="s">
        <v>37</v>
      </c>
      <c r="M4" s="3" t="s">
        <v>288</v>
      </c>
      <c r="N4" s="3" t="s">
        <v>289</v>
      </c>
      <c r="O4" s="3" t="s">
        <v>290</v>
      </c>
      <c r="P4" s="3" t="s">
        <v>209</v>
      </c>
    </row>
    <row r="5" ht="60" customHeight="1" spans="2:16">
      <c r="B5" s="4">
        <v>1</v>
      </c>
      <c r="C5" s="4" t="s">
        <v>100</v>
      </c>
      <c r="D5" s="4" t="s">
        <v>101</v>
      </c>
      <c r="E5" s="11" t="s">
        <v>41</v>
      </c>
      <c r="F5" s="5" t="s">
        <v>102</v>
      </c>
      <c r="G5" s="5" t="s">
        <v>413</v>
      </c>
      <c r="H5" s="5" t="s">
        <v>414</v>
      </c>
      <c r="I5" s="5" t="s">
        <v>293</v>
      </c>
      <c r="J5" s="5" t="s">
        <v>415</v>
      </c>
      <c r="K5" s="4" t="s">
        <v>43</v>
      </c>
      <c r="L5" s="4" t="s">
        <v>44</v>
      </c>
      <c r="M5" s="5"/>
      <c r="N5" s="4" t="s">
        <v>295</v>
      </c>
      <c r="O5" s="4"/>
      <c r="P5" s="5" t="s">
        <v>416</v>
      </c>
    </row>
    <row r="6" ht="46.5" customHeight="1" spans="2:16">
      <c r="B6" s="4">
        <v>2</v>
      </c>
      <c r="C6" s="4" t="s">
        <v>103</v>
      </c>
      <c r="D6" s="4" t="s">
        <v>101</v>
      </c>
      <c r="E6" s="11" t="s">
        <v>41</v>
      </c>
      <c r="F6" s="5" t="s">
        <v>104</v>
      </c>
      <c r="G6" s="5" t="s">
        <v>417</v>
      </c>
      <c r="H6" s="5" t="s">
        <v>418</v>
      </c>
      <c r="I6" s="5" t="s">
        <v>293</v>
      </c>
      <c r="J6" s="5" t="s">
        <v>419</v>
      </c>
      <c r="K6" s="4" t="s">
        <v>43</v>
      </c>
      <c r="L6" s="4" t="s">
        <v>44</v>
      </c>
      <c r="M6" s="5"/>
      <c r="N6" s="4" t="s">
        <v>295</v>
      </c>
      <c r="O6" s="4"/>
      <c r="P6" s="5" t="s">
        <v>420</v>
      </c>
    </row>
    <row r="7" ht="60" customHeight="1" spans="2:16">
      <c r="B7" s="4">
        <v>3</v>
      </c>
      <c r="C7" s="4" t="s">
        <v>105</v>
      </c>
      <c r="D7" s="4" t="s">
        <v>101</v>
      </c>
      <c r="E7" s="11" t="s">
        <v>41</v>
      </c>
      <c r="F7" s="5" t="s">
        <v>106</v>
      </c>
      <c r="G7" s="5" t="s">
        <v>413</v>
      </c>
      <c r="H7" s="5" t="s">
        <v>421</v>
      </c>
      <c r="I7" s="5" t="s">
        <v>293</v>
      </c>
      <c r="J7" s="5" t="s">
        <v>422</v>
      </c>
      <c r="K7" s="4" t="s">
        <v>50</v>
      </c>
      <c r="L7" s="4" t="s">
        <v>44</v>
      </c>
      <c r="M7" s="5"/>
      <c r="N7" s="4" t="s">
        <v>295</v>
      </c>
      <c r="O7" s="4"/>
      <c r="P7" s="5" t="s">
        <v>423</v>
      </c>
    </row>
    <row r="8" ht="46.5" customHeight="1" spans="2:16">
      <c r="B8" s="4">
        <v>4</v>
      </c>
      <c r="C8" s="4" t="s">
        <v>107</v>
      </c>
      <c r="D8" s="4" t="s">
        <v>101</v>
      </c>
      <c r="E8" s="11" t="s">
        <v>41</v>
      </c>
      <c r="F8" s="5" t="s">
        <v>108</v>
      </c>
      <c r="G8" s="5" t="s">
        <v>424</v>
      </c>
      <c r="H8" s="5" t="s">
        <v>425</v>
      </c>
      <c r="I8" s="5" t="s">
        <v>293</v>
      </c>
      <c r="J8" s="5" t="s">
        <v>426</v>
      </c>
      <c r="K8" s="4" t="s">
        <v>50</v>
      </c>
      <c r="L8" s="4" t="s">
        <v>44</v>
      </c>
      <c r="M8" s="5"/>
      <c r="N8" s="4" t="s">
        <v>295</v>
      </c>
      <c r="O8" s="4"/>
      <c r="P8" s="5" t="s">
        <v>427</v>
      </c>
    </row>
    <row r="9" ht="33" customHeight="1" spans="2:16">
      <c r="B9" s="4">
        <v>5</v>
      </c>
      <c r="C9" s="4" t="s">
        <v>109</v>
      </c>
      <c r="D9" s="4" t="s">
        <v>101</v>
      </c>
      <c r="E9" s="11" t="s">
        <v>41</v>
      </c>
      <c r="F9" s="5" t="s">
        <v>110</v>
      </c>
      <c r="G9" s="5" t="s">
        <v>424</v>
      </c>
      <c r="H9" s="5" t="s">
        <v>428</v>
      </c>
      <c r="I9" s="5" t="s">
        <v>293</v>
      </c>
      <c r="J9" s="5" t="s">
        <v>429</v>
      </c>
      <c r="K9" s="4" t="s">
        <v>111</v>
      </c>
      <c r="L9" s="4" t="s">
        <v>44</v>
      </c>
      <c r="M9" s="5"/>
      <c r="N9" s="4" t="s">
        <v>295</v>
      </c>
      <c r="O9" s="4"/>
      <c r="P9" s="5" t="s">
        <v>430</v>
      </c>
    </row>
    <row r="10" ht="87" customHeight="1" spans="2:16">
      <c r="B10" s="4">
        <v>6</v>
      </c>
      <c r="C10" s="4" t="s">
        <v>112</v>
      </c>
      <c r="D10" s="4" t="s">
        <v>101</v>
      </c>
      <c r="E10" s="12" t="s">
        <v>56</v>
      </c>
      <c r="F10" s="5" t="s">
        <v>113</v>
      </c>
      <c r="G10" s="5" t="s">
        <v>431</v>
      </c>
      <c r="H10" s="5" t="s">
        <v>432</v>
      </c>
      <c r="I10" s="5" t="s">
        <v>433</v>
      </c>
      <c r="J10" s="5" t="s">
        <v>434</v>
      </c>
      <c r="K10" s="4" t="s">
        <v>43</v>
      </c>
      <c r="L10" s="4" t="s">
        <v>44</v>
      </c>
      <c r="M10" s="5"/>
      <c r="N10" s="4" t="s">
        <v>295</v>
      </c>
      <c r="O10" s="4"/>
      <c r="P10" s="5" t="s">
        <v>435</v>
      </c>
    </row>
    <row r="11" ht="46.5" customHeight="1" spans="2:16">
      <c r="B11" s="4">
        <v>7</v>
      </c>
      <c r="C11" s="4" t="s">
        <v>114</v>
      </c>
      <c r="D11" s="4" t="s">
        <v>101</v>
      </c>
      <c r="E11" s="12" t="s">
        <v>56</v>
      </c>
      <c r="F11" s="5" t="s">
        <v>115</v>
      </c>
      <c r="G11" s="5" t="s">
        <v>424</v>
      </c>
      <c r="H11" s="5" t="s">
        <v>436</v>
      </c>
      <c r="I11" s="5" t="s">
        <v>437</v>
      </c>
      <c r="J11" s="5" t="s">
        <v>438</v>
      </c>
      <c r="K11" s="4" t="s">
        <v>43</v>
      </c>
      <c r="L11" s="4" t="s">
        <v>44</v>
      </c>
      <c r="M11" s="5"/>
      <c r="N11" s="4" t="s">
        <v>295</v>
      </c>
      <c r="O11" s="4"/>
      <c r="P11" s="5" t="s">
        <v>439</v>
      </c>
    </row>
    <row r="12" ht="33" customHeight="1" spans="2:16">
      <c r="B12" s="4">
        <v>8</v>
      </c>
      <c r="C12" s="4" t="s">
        <v>116</v>
      </c>
      <c r="D12" s="4" t="s">
        <v>101</v>
      </c>
      <c r="E12" s="12" t="s">
        <v>56</v>
      </c>
      <c r="F12" s="5" t="s">
        <v>117</v>
      </c>
      <c r="G12" s="5" t="s">
        <v>424</v>
      </c>
      <c r="H12" s="5" t="s">
        <v>440</v>
      </c>
      <c r="I12" s="5" t="s">
        <v>293</v>
      </c>
      <c r="J12" s="5" t="s">
        <v>441</v>
      </c>
      <c r="K12" s="4" t="s">
        <v>50</v>
      </c>
      <c r="L12" s="4" t="s">
        <v>44</v>
      </c>
      <c r="M12" s="5"/>
      <c r="N12" s="4" t="s">
        <v>295</v>
      </c>
      <c r="O12" s="4"/>
      <c r="P12" s="5" t="s">
        <v>442</v>
      </c>
    </row>
    <row r="13" ht="33" customHeight="1" spans="2:16">
      <c r="B13" s="4">
        <v>9</v>
      </c>
      <c r="C13" s="4" t="s">
        <v>118</v>
      </c>
      <c r="D13" s="4" t="s">
        <v>101</v>
      </c>
      <c r="E13" s="12" t="s">
        <v>56</v>
      </c>
      <c r="F13" s="5" t="s">
        <v>119</v>
      </c>
      <c r="G13" s="5" t="s">
        <v>424</v>
      </c>
      <c r="H13" s="5" t="s">
        <v>443</v>
      </c>
      <c r="I13" s="5" t="s">
        <v>293</v>
      </c>
      <c r="J13" s="5" t="s">
        <v>444</v>
      </c>
      <c r="K13" s="4" t="s">
        <v>50</v>
      </c>
      <c r="L13" s="4" t="s">
        <v>44</v>
      </c>
      <c r="M13" s="5"/>
      <c r="N13" s="4" t="s">
        <v>295</v>
      </c>
      <c r="O13" s="4"/>
      <c r="P13" s="5" t="s">
        <v>445</v>
      </c>
    </row>
    <row r="14" ht="60" customHeight="1" spans="2:16">
      <c r="B14" s="4">
        <v>10</v>
      </c>
      <c r="C14" s="4" t="s">
        <v>120</v>
      </c>
      <c r="D14" s="4" t="s">
        <v>101</v>
      </c>
      <c r="E14" s="12" t="s">
        <v>56</v>
      </c>
      <c r="F14" s="5" t="s">
        <v>121</v>
      </c>
      <c r="G14" s="5" t="s">
        <v>446</v>
      </c>
      <c r="H14" s="5" t="s">
        <v>447</v>
      </c>
      <c r="I14" s="5" t="s">
        <v>448</v>
      </c>
      <c r="J14" s="5" t="s">
        <v>449</v>
      </c>
      <c r="K14" s="4" t="s">
        <v>43</v>
      </c>
      <c r="L14" s="4" t="s">
        <v>44</v>
      </c>
      <c r="M14" s="5"/>
      <c r="N14" s="4" t="s">
        <v>295</v>
      </c>
      <c r="O14" s="4"/>
      <c r="P14" s="5" t="s">
        <v>450</v>
      </c>
    </row>
    <row r="15" ht="60" customHeight="1" spans="2:16">
      <c r="B15" s="4">
        <v>11</v>
      </c>
      <c r="C15" s="4" t="s">
        <v>122</v>
      </c>
      <c r="D15" s="4" t="s">
        <v>101</v>
      </c>
      <c r="E15" s="13" t="s">
        <v>68</v>
      </c>
      <c r="F15" s="5" t="s">
        <v>123</v>
      </c>
      <c r="G15" s="5" t="s">
        <v>424</v>
      </c>
      <c r="H15" s="5" t="s">
        <v>451</v>
      </c>
      <c r="I15" s="5" t="s">
        <v>452</v>
      </c>
      <c r="J15" s="5" t="s">
        <v>453</v>
      </c>
      <c r="K15" s="4" t="s">
        <v>43</v>
      </c>
      <c r="L15" s="4" t="s">
        <v>44</v>
      </c>
      <c r="M15" s="5"/>
      <c r="N15" s="4" t="s">
        <v>295</v>
      </c>
      <c r="O15" s="4"/>
      <c r="P15" s="5" t="s">
        <v>454</v>
      </c>
    </row>
    <row r="16" ht="60" customHeight="1" spans="2:16">
      <c r="B16" s="4">
        <v>12</v>
      </c>
      <c r="C16" s="4" t="s">
        <v>124</v>
      </c>
      <c r="D16" s="4" t="s">
        <v>101</v>
      </c>
      <c r="E16" s="13" t="s">
        <v>68</v>
      </c>
      <c r="F16" s="5" t="s">
        <v>125</v>
      </c>
      <c r="G16" s="5" t="s">
        <v>455</v>
      </c>
      <c r="H16" s="5" t="s">
        <v>456</v>
      </c>
      <c r="I16" s="5" t="s">
        <v>457</v>
      </c>
      <c r="J16" s="5" t="s">
        <v>458</v>
      </c>
      <c r="K16" s="4" t="s">
        <v>43</v>
      </c>
      <c r="L16" s="4" t="s">
        <v>44</v>
      </c>
      <c r="M16" s="5"/>
      <c r="N16" s="4" t="s">
        <v>295</v>
      </c>
      <c r="O16" s="4"/>
      <c r="P16" s="5" t="s">
        <v>459</v>
      </c>
    </row>
    <row r="17" ht="60" customHeight="1" spans="2:16">
      <c r="B17" s="4">
        <v>13</v>
      </c>
      <c r="C17" s="4" t="s">
        <v>126</v>
      </c>
      <c r="D17" s="4" t="s">
        <v>101</v>
      </c>
      <c r="E17" s="13" t="s">
        <v>68</v>
      </c>
      <c r="F17" s="5" t="s">
        <v>127</v>
      </c>
      <c r="G17" s="5" t="s">
        <v>455</v>
      </c>
      <c r="H17" s="5" t="s">
        <v>460</v>
      </c>
      <c r="I17" s="5" t="s">
        <v>461</v>
      </c>
      <c r="J17" s="5" t="s">
        <v>462</v>
      </c>
      <c r="K17" s="4" t="s">
        <v>43</v>
      </c>
      <c r="L17" s="4" t="s">
        <v>44</v>
      </c>
      <c r="M17" s="5"/>
      <c r="N17" s="4" t="s">
        <v>295</v>
      </c>
      <c r="O17" s="4"/>
      <c r="P17" s="5" t="s">
        <v>463</v>
      </c>
    </row>
    <row r="18" ht="60" customHeight="1" spans="2:16">
      <c r="B18" s="4">
        <v>14</v>
      </c>
      <c r="C18" s="4" t="s">
        <v>128</v>
      </c>
      <c r="D18" s="4" t="s">
        <v>101</v>
      </c>
      <c r="E18" s="13" t="s">
        <v>68</v>
      </c>
      <c r="F18" s="5" t="s">
        <v>129</v>
      </c>
      <c r="G18" s="5" t="s">
        <v>464</v>
      </c>
      <c r="H18" s="5" t="s">
        <v>465</v>
      </c>
      <c r="I18" s="5" t="s">
        <v>466</v>
      </c>
      <c r="J18" s="5" t="s">
        <v>467</v>
      </c>
      <c r="K18" s="4" t="s">
        <v>50</v>
      </c>
      <c r="L18" s="4" t="s">
        <v>44</v>
      </c>
      <c r="M18" s="5"/>
      <c r="N18" s="4" t="s">
        <v>295</v>
      </c>
      <c r="O18" s="4"/>
      <c r="P18" s="5" t="s">
        <v>468</v>
      </c>
    </row>
    <row r="19" ht="46.5" customHeight="1" spans="2:16">
      <c r="B19" s="4">
        <v>15</v>
      </c>
      <c r="C19" s="4" t="s">
        <v>130</v>
      </c>
      <c r="D19" s="4" t="s">
        <v>101</v>
      </c>
      <c r="E19" s="13" t="s">
        <v>68</v>
      </c>
      <c r="F19" s="5" t="s">
        <v>131</v>
      </c>
      <c r="G19" s="5" t="s">
        <v>469</v>
      </c>
      <c r="H19" s="5" t="s">
        <v>470</v>
      </c>
      <c r="I19" s="5" t="s">
        <v>293</v>
      </c>
      <c r="J19" s="5" t="s">
        <v>471</v>
      </c>
      <c r="K19" s="4" t="s">
        <v>50</v>
      </c>
      <c r="L19" s="4" t="s">
        <v>44</v>
      </c>
      <c r="M19" s="5"/>
      <c r="N19" s="4" t="s">
        <v>295</v>
      </c>
      <c r="O19" s="4"/>
      <c r="P19" s="5" t="s">
        <v>472</v>
      </c>
    </row>
    <row r="20" ht="60" customHeight="1" spans="2:16">
      <c r="B20" s="4">
        <v>16</v>
      </c>
      <c r="C20" s="4" t="s">
        <v>132</v>
      </c>
      <c r="D20" s="4" t="s">
        <v>101</v>
      </c>
      <c r="E20" s="13" t="s">
        <v>68</v>
      </c>
      <c r="F20" s="5" t="s">
        <v>133</v>
      </c>
      <c r="G20" s="5" t="s">
        <v>455</v>
      </c>
      <c r="H20" s="5" t="s">
        <v>473</v>
      </c>
      <c r="I20" s="5" t="s">
        <v>474</v>
      </c>
      <c r="J20" s="5" t="s">
        <v>475</v>
      </c>
      <c r="K20" s="4" t="s">
        <v>50</v>
      </c>
      <c r="L20" s="4" t="s">
        <v>44</v>
      </c>
      <c r="M20" s="5"/>
      <c r="N20" s="4" t="s">
        <v>295</v>
      </c>
      <c r="O20" s="4"/>
      <c r="P20" s="5" t="s">
        <v>476</v>
      </c>
    </row>
    <row r="21" ht="46.5" customHeight="1" spans="2:16">
      <c r="B21" s="4">
        <v>17</v>
      </c>
      <c r="C21" s="4" t="s">
        <v>134</v>
      </c>
      <c r="D21" s="4" t="s">
        <v>101</v>
      </c>
      <c r="E21" s="13" t="s">
        <v>68</v>
      </c>
      <c r="F21" s="5" t="s">
        <v>135</v>
      </c>
      <c r="G21" s="5" t="s">
        <v>477</v>
      </c>
      <c r="H21" s="5" t="s">
        <v>478</v>
      </c>
      <c r="I21" s="5" t="s">
        <v>479</v>
      </c>
      <c r="J21" s="5" t="s">
        <v>480</v>
      </c>
      <c r="K21" s="4" t="s">
        <v>50</v>
      </c>
      <c r="L21" s="4" t="s">
        <v>44</v>
      </c>
      <c r="M21" s="5"/>
      <c r="N21" s="4" t="s">
        <v>295</v>
      </c>
      <c r="O21" s="4"/>
      <c r="P21" s="5" t="s">
        <v>481</v>
      </c>
    </row>
    <row r="22" ht="60" customHeight="1" spans="2:16">
      <c r="B22" s="4">
        <v>18</v>
      </c>
      <c r="C22" s="4" t="s">
        <v>136</v>
      </c>
      <c r="D22" s="4" t="s">
        <v>101</v>
      </c>
      <c r="E22" s="13" t="s">
        <v>68</v>
      </c>
      <c r="F22" s="5" t="s">
        <v>137</v>
      </c>
      <c r="G22" s="5" t="s">
        <v>482</v>
      </c>
      <c r="H22" s="5" t="s">
        <v>483</v>
      </c>
      <c r="I22" s="5" t="s">
        <v>484</v>
      </c>
      <c r="J22" s="5" t="s">
        <v>485</v>
      </c>
      <c r="K22" s="4" t="s">
        <v>43</v>
      </c>
      <c r="L22" s="4" t="s">
        <v>44</v>
      </c>
      <c r="M22" s="5"/>
      <c r="N22" s="4" t="s">
        <v>295</v>
      </c>
      <c r="O22" s="4"/>
      <c r="P22" s="5" t="s">
        <v>486</v>
      </c>
    </row>
    <row r="23" ht="46.5" customHeight="1" spans="2:16">
      <c r="B23" s="4">
        <v>19</v>
      </c>
      <c r="C23" s="4" t="s">
        <v>138</v>
      </c>
      <c r="D23" s="4" t="s">
        <v>101</v>
      </c>
      <c r="E23" s="13" t="s">
        <v>68</v>
      </c>
      <c r="F23" s="5" t="s">
        <v>139</v>
      </c>
      <c r="G23" s="5" t="s">
        <v>424</v>
      </c>
      <c r="H23" s="5" t="s">
        <v>487</v>
      </c>
      <c r="I23" s="5" t="s">
        <v>488</v>
      </c>
      <c r="J23" s="5" t="s">
        <v>489</v>
      </c>
      <c r="K23" s="4" t="s">
        <v>50</v>
      </c>
      <c r="L23" s="4" t="s">
        <v>44</v>
      </c>
      <c r="M23" s="5"/>
      <c r="N23" s="4" t="s">
        <v>295</v>
      </c>
      <c r="O23" s="4"/>
      <c r="P23" s="5" t="s">
        <v>490</v>
      </c>
    </row>
    <row r="24" ht="60" customHeight="1" spans="2:16">
      <c r="B24" s="4">
        <v>20</v>
      </c>
      <c r="C24" s="4" t="s">
        <v>140</v>
      </c>
      <c r="D24" s="4" t="s">
        <v>101</v>
      </c>
      <c r="E24" s="13" t="s">
        <v>68</v>
      </c>
      <c r="F24" s="5" t="s">
        <v>141</v>
      </c>
      <c r="G24" s="5" t="s">
        <v>455</v>
      </c>
      <c r="H24" s="5" t="s">
        <v>491</v>
      </c>
      <c r="I24" s="5" t="s">
        <v>293</v>
      </c>
      <c r="J24" s="5" t="s">
        <v>492</v>
      </c>
      <c r="K24" s="4" t="s">
        <v>50</v>
      </c>
      <c r="L24" s="4" t="s">
        <v>44</v>
      </c>
      <c r="M24" s="5"/>
      <c r="N24" s="4" t="s">
        <v>295</v>
      </c>
      <c r="O24" s="4"/>
      <c r="P24" s="5" t="s">
        <v>493</v>
      </c>
    </row>
    <row r="25" ht="33" customHeight="1" spans="2:16">
      <c r="B25" s="4">
        <v>21</v>
      </c>
      <c r="C25" s="4" t="s">
        <v>142</v>
      </c>
      <c r="D25" s="4" t="s">
        <v>101</v>
      </c>
      <c r="E25" s="14" t="s">
        <v>89</v>
      </c>
      <c r="F25" s="5" t="s">
        <v>143</v>
      </c>
      <c r="G25" s="5" t="s">
        <v>494</v>
      </c>
      <c r="H25" s="5" t="s">
        <v>495</v>
      </c>
      <c r="I25" s="5" t="s">
        <v>496</v>
      </c>
      <c r="J25" s="5" t="s">
        <v>497</v>
      </c>
      <c r="K25" s="4" t="s">
        <v>50</v>
      </c>
      <c r="L25" s="4" t="s">
        <v>44</v>
      </c>
      <c r="M25" s="5"/>
      <c r="N25" s="4" t="s">
        <v>295</v>
      </c>
      <c r="O25" s="4"/>
      <c r="P25" s="5" t="s">
        <v>498</v>
      </c>
    </row>
    <row r="26" ht="46.5" customHeight="1" spans="2:16">
      <c r="B26" s="4">
        <v>22</v>
      </c>
      <c r="C26" s="4" t="s">
        <v>144</v>
      </c>
      <c r="D26" s="4" t="s">
        <v>101</v>
      </c>
      <c r="E26" s="14" t="s">
        <v>89</v>
      </c>
      <c r="F26" s="5" t="s">
        <v>145</v>
      </c>
      <c r="G26" s="5" t="s">
        <v>455</v>
      </c>
      <c r="H26" s="5" t="s">
        <v>499</v>
      </c>
      <c r="I26" s="5" t="s">
        <v>500</v>
      </c>
      <c r="J26" s="5" t="s">
        <v>501</v>
      </c>
      <c r="K26" s="4" t="s">
        <v>50</v>
      </c>
      <c r="L26" s="4" t="s">
        <v>44</v>
      </c>
      <c r="M26" s="5"/>
      <c r="N26" s="4" t="s">
        <v>295</v>
      </c>
      <c r="O26" s="4"/>
      <c r="P26" s="5" t="s">
        <v>502</v>
      </c>
    </row>
    <row r="27" ht="46.5" customHeight="1" spans="2:16">
      <c r="B27" s="4">
        <v>23</v>
      </c>
      <c r="C27" s="4" t="s">
        <v>146</v>
      </c>
      <c r="D27" s="4" t="s">
        <v>101</v>
      </c>
      <c r="E27" s="14" t="s">
        <v>89</v>
      </c>
      <c r="F27" s="5" t="s">
        <v>147</v>
      </c>
      <c r="G27" s="5" t="s">
        <v>503</v>
      </c>
      <c r="H27" s="5" t="s">
        <v>504</v>
      </c>
      <c r="I27" s="5" t="s">
        <v>293</v>
      </c>
      <c r="J27" s="5" t="s">
        <v>505</v>
      </c>
      <c r="K27" s="4" t="s">
        <v>111</v>
      </c>
      <c r="L27" s="4" t="s">
        <v>44</v>
      </c>
      <c r="M27" s="5"/>
      <c r="N27" s="4" t="s">
        <v>295</v>
      </c>
      <c r="O27" s="4"/>
      <c r="P27" s="5" t="s">
        <v>472</v>
      </c>
    </row>
    <row r="28" ht="33" customHeight="1" spans="2:16">
      <c r="B28" s="4">
        <v>24</v>
      </c>
      <c r="C28" s="4" t="s">
        <v>148</v>
      </c>
      <c r="D28" s="4" t="s">
        <v>101</v>
      </c>
      <c r="E28" s="14" t="s">
        <v>89</v>
      </c>
      <c r="F28" s="5" t="s">
        <v>149</v>
      </c>
      <c r="G28" s="5" t="s">
        <v>506</v>
      </c>
      <c r="H28" s="5" t="s">
        <v>507</v>
      </c>
      <c r="I28" s="5" t="s">
        <v>293</v>
      </c>
      <c r="J28" s="5" t="s">
        <v>508</v>
      </c>
      <c r="K28" s="4" t="s">
        <v>43</v>
      </c>
      <c r="L28" s="4" t="s">
        <v>44</v>
      </c>
      <c r="M28" s="5"/>
      <c r="N28" s="4" t="s">
        <v>295</v>
      </c>
      <c r="O28" s="4"/>
      <c r="P28" s="5" t="s">
        <v>509</v>
      </c>
    </row>
    <row r="29" ht="60" customHeight="1" spans="2:16">
      <c r="B29" s="4">
        <v>25</v>
      </c>
      <c r="C29" s="4" t="s">
        <v>150</v>
      </c>
      <c r="D29" s="4" t="s">
        <v>101</v>
      </c>
      <c r="E29" s="15" t="s">
        <v>98</v>
      </c>
      <c r="F29" s="5" t="s">
        <v>151</v>
      </c>
      <c r="G29" s="5" t="s">
        <v>510</v>
      </c>
      <c r="H29" s="5" t="s">
        <v>511</v>
      </c>
      <c r="I29" s="5" t="s">
        <v>512</v>
      </c>
      <c r="J29" s="5" t="s">
        <v>513</v>
      </c>
      <c r="K29" s="4" t="s">
        <v>50</v>
      </c>
      <c r="L29" s="4" t="s">
        <v>44</v>
      </c>
      <c r="M29" s="5"/>
      <c r="N29" s="4" t="s">
        <v>295</v>
      </c>
      <c r="O29" s="4"/>
      <c r="P29" s="5" t="s">
        <v>514</v>
      </c>
    </row>
  </sheetData>
  <autoFilter xmlns:etc="http://www.wps.cn/officeDocument/2017/etCustomData" ref="B4:P29" etc:filterBottomFollowUsedRange="0">
    <extLst/>
  </autoFilter>
  <conditionalFormatting sqref="N5:N29">
    <cfRule type="cellIs" dxfId="0" priority="2" operator="equal">
      <formula>"Pass"</formula>
    </cfRule>
    <cfRule type="cellIs" dxfId="1" priority="3" operator="equal">
      <formula>"Fail"</formula>
    </cfRule>
    <cfRule type="cellIs" dxfId="2" priority="4" operator="equal">
      <formula>"Blocked"</formula>
    </cfRule>
  </conditionalFormatting>
  <dataValidations count="1">
    <dataValidation type="list" allowBlank="1" sqref="N5:N29">
      <formula1>"Pass,Fail,Untested,Blocked,N/A"</formula1>
    </dataValidation>
  </dataValidations>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9"/>
  <sheetViews>
    <sheetView showGridLines="0" workbookViewId="0">
      <pane xSplit="3" ySplit="4" topLeftCell="D5" activePane="bottomRight" state="frozen"/>
      <selection/>
      <selection pane="topRight"/>
      <selection pane="bottomLeft"/>
      <selection pane="bottomRight" activeCell="A1" sqref="A1"/>
    </sheetView>
  </sheetViews>
  <sheetFormatPr defaultColWidth="8.67619047619048" defaultRowHeight="15"/>
  <cols>
    <col min="1" max="1" width="4" customWidth="1"/>
    <col min="2" max="2" width="6" customWidth="1"/>
    <col min="3" max="3" width="24" customWidth="1"/>
    <col min="4" max="4" width="14" customWidth="1"/>
    <col min="5" max="5" width="15" customWidth="1"/>
    <col min="6" max="6" width="40" customWidth="1"/>
    <col min="7" max="7" width="34" customWidth="1"/>
    <col min="8" max="8" width="48" customWidth="1"/>
    <col min="9" max="9" width="30" customWidth="1"/>
    <col min="10" max="10" width="52" customWidth="1"/>
    <col min="11" max="11" width="11" customWidth="1"/>
    <col min="12" max="12" width="12" customWidth="1"/>
    <col min="13" max="13" width="30" customWidth="1"/>
    <col min="14" max="14" width="16" customWidth="1"/>
    <col min="15" max="15" width="12" customWidth="1"/>
    <col min="16" max="16" width="46" customWidth="1"/>
  </cols>
  <sheetData>
    <row r="2" ht="21.75" customHeight="1" spans="2:16">
      <c r="B2" s="1" t="s">
        <v>515</v>
      </c>
    </row>
    <row r="4" ht="30" customHeight="1" spans="2:16">
      <c r="B4" s="3" t="s">
        <v>30</v>
      </c>
      <c r="C4" s="3" t="s">
        <v>281</v>
      </c>
      <c r="D4" s="3" t="s">
        <v>32</v>
      </c>
      <c r="E4" s="3" t="s">
        <v>282</v>
      </c>
      <c r="F4" s="3" t="s">
        <v>283</v>
      </c>
      <c r="G4" s="3" t="s">
        <v>284</v>
      </c>
      <c r="H4" s="3" t="s">
        <v>285</v>
      </c>
      <c r="I4" s="3" t="s">
        <v>286</v>
      </c>
      <c r="J4" s="3" t="s">
        <v>287</v>
      </c>
      <c r="K4" s="3" t="s">
        <v>35</v>
      </c>
      <c r="L4" s="3" t="s">
        <v>37</v>
      </c>
      <c r="M4" s="3" t="s">
        <v>288</v>
      </c>
      <c r="N4" s="3" t="s">
        <v>289</v>
      </c>
      <c r="O4" s="3" t="s">
        <v>290</v>
      </c>
      <c r="P4" s="3" t="s">
        <v>209</v>
      </c>
    </row>
    <row r="5" ht="60" customHeight="1" spans="2:16">
      <c r="B5" s="4">
        <v>1</v>
      </c>
      <c r="C5" s="4" t="s">
        <v>152</v>
      </c>
      <c r="D5" s="4" t="s">
        <v>153</v>
      </c>
      <c r="E5" s="11" t="s">
        <v>41</v>
      </c>
      <c r="F5" s="5" t="s">
        <v>154</v>
      </c>
      <c r="G5" s="5" t="s">
        <v>413</v>
      </c>
      <c r="H5" s="5" t="s">
        <v>516</v>
      </c>
      <c r="I5" s="5" t="s">
        <v>293</v>
      </c>
      <c r="J5" s="5" t="s">
        <v>517</v>
      </c>
      <c r="K5" s="4" t="s">
        <v>43</v>
      </c>
      <c r="L5" s="4" t="s">
        <v>44</v>
      </c>
      <c r="M5" s="5"/>
      <c r="N5" s="4" t="s">
        <v>295</v>
      </c>
      <c r="O5" s="4"/>
      <c r="P5" s="5" t="s">
        <v>518</v>
      </c>
    </row>
    <row r="6" ht="46.5" customHeight="1" spans="2:16">
      <c r="B6" s="4">
        <v>2</v>
      </c>
      <c r="C6" s="4" t="s">
        <v>155</v>
      </c>
      <c r="D6" s="4" t="s">
        <v>153</v>
      </c>
      <c r="E6" s="11" t="s">
        <v>41</v>
      </c>
      <c r="F6" s="5" t="s">
        <v>156</v>
      </c>
      <c r="G6" s="5" t="s">
        <v>519</v>
      </c>
      <c r="H6" s="5" t="s">
        <v>520</v>
      </c>
      <c r="I6" s="5" t="s">
        <v>293</v>
      </c>
      <c r="J6" s="5" t="s">
        <v>521</v>
      </c>
      <c r="K6" s="4" t="s">
        <v>111</v>
      </c>
      <c r="L6" s="4" t="s">
        <v>44</v>
      </c>
      <c r="M6" s="5"/>
      <c r="N6" s="4" t="s">
        <v>295</v>
      </c>
      <c r="O6" s="4"/>
      <c r="P6" s="5" t="s">
        <v>522</v>
      </c>
    </row>
    <row r="7" ht="33" customHeight="1" spans="2:16">
      <c r="B7" s="4">
        <v>3</v>
      </c>
      <c r="C7" s="4" t="s">
        <v>157</v>
      </c>
      <c r="D7" s="4" t="s">
        <v>153</v>
      </c>
      <c r="E7" s="11" t="s">
        <v>41</v>
      </c>
      <c r="F7" s="5" t="s">
        <v>158</v>
      </c>
      <c r="G7" s="5" t="s">
        <v>523</v>
      </c>
      <c r="H7" s="5" t="s">
        <v>524</v>
      </c>
      <c r="I7" s="5" t="s">
        <v>293</v>
      </c>
      <c r="J7" s="5" t="s">
        <v>525</v>
      </c>
      <c r="K7" s="4" t="s">
        <v>43</v>
      </c>
      <c r="L7" s="4" t="s">
        <v>44</v>
      </c>
      <c r="M7" s="5"/>
      <c r="N7" s="4" t="s">
        <v>295</v>
      </c>
      <c r="O7" s="4"/>
      <c r="P7" s="5" t="s">
        <v>526</v>
      </c>
    </row>
    <row r="8" ht="33" customHeight="1" spans="2:16">
      <c r="B8" s="4">
        <v>4</v>
      </c>
      <c r="C8" s="4" t="s">
        <v>159</v>
      </c>
      <c r="D8" s="4" t="s">
        <v>153</v>
      </c>
      <c r="E8" s="11" t="s">
        <v>41</v>
      </c>
      <c r="F8" s="5" t="s">
        <v>160</v>
      </c>
      <c r="G8" s="5" t="s">
        <v>413</v>
      </c>
      <c r="H8" s="5" t="s">
        <v>527</v>
      </c>
      <c r="I8" s="5" t="s">
        <v>293</v>
      </c>
      <c r="J8" s="5" t="s">
        <v>528</v>
      </c>
      <c r="K8" s="4" t="s">
        <v>50</v>
      </c>
      <c r="L8" s="4" t="s">
        <v>44</v>
      </c>
      <c r="M8" s="5"/>
      <c r="N8" s="4" t="s">
        <v>295</v>
      </c>
      <c r="O8" s="4"/>
      <c r="P8" s="5" t="s">
        <v>529</v>
      </c>
    </row>
    <row r="9" ht="46.5" customHeight="1" spans="2:16">
      <c r="B9" s="4">
        <v>5</v>
      </c>
      <c r="C9" s="4" t="s">
        <v>161</v>
      </c>
      <c r="D9" s="4" t="s">
        <v>153</v>
      </c>
      <c r="E9" s="11" t="s">
        <v>41</v>
      </c>
      <c r="F9" s="5" t="s">
        <v>162</v>
      </c>
      <c r="G9" s="5" t="s">
        <v>530</v>
      </c>
      <c r="H9" s="5" t="s">
        <v>531</v>
      </c>
      <c r="I9" s="5" t="s">
        <v>293</v>
      </c>
      <c r="J9" s="5" t="s">
        <v>532</v>
      </c>
      <c r="K9" s="4" t="s">
        <v>50</v>
      </c>
      <c r="L9" s="4" t="s">
        <v>44</v>
      </c>
      <c r="M9" s="5"/>
      <c r="N9" s="4" t="s">
        <v>295</v>
      </c>
      <c r="O9" s="4"/>
      <c r="P9" s="5" t="s">
        <v>533</v>
      </c>
    </row>
    <row r="10" ht="73.5" customHeight="1" spans="2:16">
      <c r="B10" s="4">
        <v>6</v>
      </c>
      <c r="C10" s="4" t="s">
        <v>163</v>
      </c>
      <c r="D10" s="4" t="s">
        <v>153</v>
      </c>
      <c r="E10" s="12" t="s">
        <v>56</v>
      </c>
      <c r="F10" s="5" t="s">
        <v>164</v>
      </c>
      <c r="G10" s="5" t="s">
        <v>519</v>
      </c>
      <c r="H10" s="5" t="s">
        <v>534</v>
      </c>
      <c r="I10" s="5" t="s">
        <v>535</v>
      </c>
      <c r="J10" s="5" t="s">
        <v>536</v>
      </c>
      <c r="K10" s="4" t="s">
        <v>43</v>
      </c>
      <c r="L10" s="4" t="s">
        <v>44</v>
      </c>
      <c r="M10" s="5"/>
      <c r="N10" s="4" t="s">
        <v>295</v>
      </c>
      <c r="O10" s="4"/>
      <c r="P10" s="5" t="s">
        <v>537</v>
      </c>
    </row>
    <row r="11" ht="60" customHeight="1" spans="2:16">
      <c r="B11" s="4">
        <v>7</v>
      </c>
      <c r="C11" s="4" t="s">
        <v>165</v>
      </c>
      <c r="D11" s="4" t="s">
        <v>153</v>
      </c>
      <c r="E11" s="12" t="s">
        <v>56</v>
      </c>
      <c r="F11" s="5" t="s">
        <v>166</v>
      </c>
      <c r="G11" s="5" t="s">
        <v>424</v>
      </c>
      <c r="H11" s="5" t="s">
        <v>538</v>
      </c>
      <c r="I11" s="5" t="s">
        <v>539</v>
      </c>
      <c r="J11" s="5" t="s">
        <v>540</v>
      </c>
      <c r="K11" s="4" t="s">
        <v>50</v>
      </c>
      <c r="L11" s="4" t="s">
        <v>44</v>
      </c>
      <c r="M11" s="5"/>
      <c r="N11" s="4" t="s">
        <v>295</v>
      </c>
      <c r="O11" s="4"/>
      <c r="P11" s="5" t="s">
        <v>541</v>
      </c>
    </row>
    <row r="12" ht="46.5" customHeight="1" spans="2:16">
      <c r="B12" s="4">
        <v>8</v>
      </c>
      <c r="C12" s="4" t="s">
        <v>167</v>
      </c>
      <c r="D12" s="4" t="s">
        <v>153</v>
      </c>
      <c r="E12" s="12" t="s">
        <v>56</v>
      </c>
      <c r="F12" s="5" t="s">
        <v>168</v>
      </c>
      <c r="G12" s="5" t="s">
        <v>519</v>
      </c>
      <c r="H12" s="5" t="s">
        <v>542</v>
      </c>
      <c r="I12" s="5" t="s">
        <v>543</v>
      </c>
      <c r="J12" s="5" t="s">
        <v>544</v>
      </c>
      <c r="K12" s="4" t="s">
        <v>43</v>
      </c>
      <c r="L12" s="4" t="s">
        <v>44</v>
      </c>
      <c r="M12" s="5"/>
      <c r="N12" s="4" t="s">
        <v>295</v>
      </c>
      <c r="O12" s="4"/>
      <c r="P12" s="5" t="s">
        <v>545</v>
      </c>
    </row>
    <row r="13" ht="46.5" customHeight="1" spans="2:16">
      <c r="B13" s="4">
        <v>9</v>
      </c>
      <c r="C13" s="4" t="s">
        <v>169</v>
      </c>
      <c r="D13" s="4" t="s">
        <v>153</v>
      </c>
      <c r="E13" s="12" t="s">
        <v>56</v>
      </c>
      <c r="F13" s="5" t="s">
        <v>170</v>
      </c>
      <c r="G13" s="5" t="s">
        <v>519</v>
      </c>
      <c r="H13" s="5" t="s">
        <v>546</v>
      </c>
      <c r="I13" s="5" t="s">
        <v>547</v>
      </c>
      <c r="J13" s="5" t="s">
        <v>548</v>
      </c>
      <c r="K13" s="4" t="s">
        <v>50</v>
      </c>
      <c r="L13" s="4" t="s">
        <v>44</v>
      </c>
      <c r="M13" s="5"/>
      <c r="N13" s="4" t="s">
        <v>295</v>
      </c>
      <c r="O13" s="4"/>
      <c r="P13" s="5" t="s">
        <v>549</v>
      </c>
    </row>
    <row r="14" ht="60" customHeight="1" spans="2:16">
      <c r="B14" s="4">
        <v>10</v>
      </c>
      <c r="C14" s="4" t="s">
        <v>171</v>
      </c>
      <c r="D14" s="4" t="s">
        <v>153</v>
      </c>
      <c r="E14" s="12" t="s">
        <v>56</v>
      </c>
      <c r="F14" s="5" t="s">
        <v>172</v>
      </c>
      <c r="G14" s="5" t="s">
        <v>424</v>
      </c>
      <c r="H14" s="5" t="s">
        <v>550</v>
      </c>
      <c r="I14" s="5" t="s">
        <v>551</v>
      </c>
      <c r="J14" s="5" t="s">
        <v>552</v>
      </c>
      <c r="K14" s="4" t="s">
        <v>50</v>
      </c>
      <c r="L14" s="4" t="s">
        <v>44</v>
      </c>
      <c r="M14" s="5"/>
      <c r="N14" s="4" t="s">
        <v>295</v>
      </c>
      <c r="O14" s="4"/>
      <c r="P14" s="5" t="s">
        <v>553</v>
      </c>
    </row>
    <row r="15" ht="60" customHeight="1" spans="2:16">
      <c r="B15" s="4">
        <v>11</v>
      </c>
      <c r="C15" s="4" t="s">
        <v>173</v>
      </c>
      <c r="D15" s="4" t="s">
        <v>153</v>
      </c>
      <c r="E15" s="13" t="s">
        <v>68</v>
      </c>
      <c r="F15" s="5" t="s">
        <v>174</v>
      </c>
      <c r="G15" s="5" t="s">
        <v>424</v>
      </c>
      <c r="H15" s="5" t="s">
        <v>554</v>
      </c>
      <c r="I15" s="5" t="s">
        <v>555</v>
      </c>
      <c r="J15" s="5" t="s">
        <v>556</v>
      </c>
      <c r="K15" s="4" t="s">
        <v>43</v>
      </c>
      <c r="L15" s="4" t="s">
        <v>44</v>
      </c>
      <c r="M15" s="5"/>
      <c r="N15" s="4" t="s">
        <v>295</v>
      </c>
      <c r="O15" s="4"/>
      <c r="P15" s="5" t="s">
        <v>557</v>
      </c>
    </row>
    <row r="16" ht="46.5" customHeight="1" spans="2:16">
      <c r="B16" s="4">
        <v>12</v>
      </c>
      <c r="C16" s="4" t="s">
        <v>175</v>
      </c>
      <c r="D16" s="4" t="s">
        <v>153</v>
      </c>
      <c r="E16" s="13" t="s">
        <v>68</v>
      </c>
      <c r="F16" s="5" t="s">
        <v>176</v>
      </c>
      <c r="G16" s="5" t="s">
        <v>558</v>
      </c>
      <c r="H16" s="5" t="s">
        <v>559</v>
      </c>
      <c r="I16" s="5" t="s">
        <v>560</v>
      </c>
      <c r="J16" s="5" t="s">
        <v>561</v>
      </c>
      <c r="K16" s="4" t="s">
        <v>43</v>
      </c>
      <c r="L16" s="4" t="s">
        <v>44</v>
      </c>
      <c r="M16" s="5"/>
      <c r="N16" s="4" t="s">
        <v>295</v>
      </c>
      <c r="O16" s="4"/>
      <c r="P16" s="5" t="s">
        <v>562</v>
      </c>
    </row>
    <row r="17" ht="46.5" customHeight="1" spans="2:16">
      <c r="B17" s="4">
        <v>13</v>
      </c>
      <c r="C17" s="4" t="s">
        <v>177</v>
      </c>
      <c r="D17" s="4" t="s">
        <v>153</v>
      </c>
      <c r="E17" s="13" t="s">
        <v>68</v>
      </c>
      <c r="F17" s="5" t="s">
        <v>178</v>
      </c>
      <c r="G17" s="5" t="s">
        <v>563</v>
      </c>
      <c r="H17" s="5" t="s">
        <v>564</v>
      </c>
      <c r="I17" s="5" t="s">
        <v>565</v>
      </c>
      <c r="J17" s="5" t="s">
        <v>566</v>
      </c>
      <c r="K17" s="4" t="s">
        <v>50</v>
      </c>
      <c r="L17" s="4" t="s">
        <v>44</v>
      </c>
      <c r="M17" s="5"/>
      <c r="N17" s="4" t="s">
        <v>295</v>
      </c>
      <c r="O17" s="4"/>
      <c r="P17" s="5" t="s">
        <v>562</v>
      </c>
    </row>
    <row r="18" ht="60" customHeight="1" spans="2:16">
      <c r="B18" s="4">
        <v>14</v>
      </c>
      <c r="C18" s="4" t="s">
        <v>179</v>
      </c>
      <c r="D18" s="4" t="s">
        <v>153</v>
      </c>
      <c r="E18" s="13" t="s">
        <v>68</v>
      </c>
      <c r="F18" s="5" t="s">
        <v>180</v>
      </c>
      <c r="G18" s="5" t="s">
        <v>567</v>
      </c>
      <c r="H18" s="5" t="s">
        <v>568</v>
      </c>
      <c r="I18" s="5" t="s">
        <v>569</v>
      </c>
      <c r="J18" s="5" t="s">
        <v>570</v>
      </c>
      <c r="K18" s="4" t="s">
        <v>43</v>
      </c>
      <c r="L18" s="4" t="s">
        <v>44</v>
      </c>
      <c r="M18" s="5"/>
      <c r="N18" s="4" t="s">
        <v>295</v>
      </c>
      <c r="O18" s="4"/>
      <c r="P18" s="5" t="s">
        <v>571</v>
      </c>
    </row>
    <row r="19" ht="60" customHeight="1" spans="2:16">
      <c r="B19" s="4">
        <v>15</v>
      </c>
      <c r="C19" s="4" t="s">
        <v>181</v>
      </c>
      <c r="D19" s="4" t="s">
        <v>153</v>
      </c>
      <c r="E19" s="13" t="s">
        <v>68</v>
      </c>
      <c r="F19" s="5" t="s">
        <v>182</v>
      </c>
      <c r="G19" s="5" t="s">
        <v>572</v>
      </c>
      <c r="H19" s="5" t="s">
        <v>573</v>
      </c>
      <c r="I19" s="5" t="s">
        <v>574</v>
      </c>
      <c r="J19" s="5" t="s">
        <v>575</v>
      </c>
      <c r="K19" s="4" t="s">
        <v>43</v>
      </c>
      <c r="L19" s="4" t="s">
        <v>44</v>
      </c>
      <c r="M19" s="5"/>
      <c r="N19" s="4" t="s">
        <v>295</v>
      </c>
      <c r="O19" s="4"/>
      <c r="P19" s="5" t="s">
        <v>576</v>
      </c>
    </row>
    <row r="20" ht="60" customHeight="1" spans="2:16">
      <c r="B20" s="4">
        <v>16</v>
      </c>
      <c r="C20" s="4" t="s">
        <v>183</v>
      </c>
      <c r="D20" s="4" t="s">
        <v>153</v>
      </c>
      <c r="E20" s="13" t="s">
        <v>68</v>
      </c>
      <c r="F20" s="5" t="s">
        <v>184</v>
      </c>
      <c r="G20" s="5" t="s">
        <v>577</v>
      </c>
      <c r="H20" s="5" t="s">
        <v>578</v>
      </c>
      <c r="I20" s="5" t="s">
        <v>579</v>
      </c>
      <c r="J20" s="5" t="s">
        <v>580</v>
      </c>
      <c r="K20" s="4" t="s">
        <v>43</v>
      </c>
      <c r="L20" s="4" t="s">
        <v>44</v>
      </c>
      <c r="M20" s="5"/>
      <c r="N20" s="4" t="s">
        <v>295</v>
      </c>
      <c r="O20" s="4"/>
      <c r="P20" s="5" t="s">
        <v>581</v>
      </c>
    </row>
    <row r="21" ht="33" customHeight="1" spans="2:16">
      <c r="B21" s="4">
        <v>17</v>
      </c>
      <c r="C21" s="4" t="s">
        <v>185</v>
      </c>
      <c r="D21" s="4" t="s">
        <v>153</v>
      </c>
      <c r="E21" s="13" t="s">
        <v>68</v>
      </c>
      <c r="F21" s="5" t="s">
        <v>186</v>
      </c>
      <c r="G21" s="5" t="s">
        <v>582</v>
      </c>
      <c r="H21" s="5" t="s">
        <v>583</v>
      </c>
      <c r="I21" s="5" t="s">
        <v>293</v>
      </c>
      <c r="J21" s="5" t="s">
        <v>584</v>
      </c>
      <c r="K21" s="4" t="s">
        <v>50</v>
      </c>
      <c r="L21" s="4" t="s">
        <v>44</v>
      </c>
      <c r="M21" s="5"/>
      <c r="N21" s="4" t="s">
        <v>295</v>
      </c>
      <c r="O21" s="4"/>
      <c r="P21" s="5" t="s">
        <v>585</v>
      </c>
    </row>
    <row r="22" ht="46.5" customHeight="1" spans="2:16">
      <c r="B22" s="4">
        <v>18</v>
      </c>
      <c r="C22" s="4" t="s">
        <v>187</v>
      </c>
      <c r="D22" s="4" t="s">
        <v>153</v>
      </c>
      <c r="E22" s="13" t="s">
        <v>68</v>
      </c>
      <c r="F22" s="5" t="s">
        <v>188</v>
      </c>
      <c r="G22" s="5" t="s">
        <v>577</v>
      </c>
      <c r="H22" s="5" t="s">
        <v>586</v>
      </c>
      <c r="I22" s="5" t="s">
        <v>587</v>
      </c>
      <c r="J22" s="5" t="s">
        <v>588</v>
      </c>
      <c r="K22" s="4" t="s">
        <v>50</v>
      </c>
      <c r="L22" s="4" t="s">
        <v>44</v>
      </c>
      <c r="M22" s="5"/>
      <c r="N22" s="4" t="s">
        <v>295</v>
      </c>
      <c r="O22" s="4"/>
      <c r="P22" s="5" t="s">
        <v>589</v>
      </c>
    </row>
    <row r="23" ht="60" customHeight="1" spans="2:16">
      <c r="B23" s="4">
        <v>19</v>
      </c>
      <c r="C23" s="4" t="s">
        <v>189</v>
      </c>
      <c r="D23" s="4" t="s">
        <v>153</v>
      </c>
      <c r="E23" s="13" t="s">
        <v>68</v>
      </c>
      <c r="F23" s="5" t="s">
        <v>190</v>
      </c>
      <c r="G23" s="5" t="s">
        <v>590</v>
      </c>
      <c r="H23" s="5" t="s">
        <v>591</v>
      </c>
      <c r="I23" s="5" t="s">
        <v>592</v>
      </c>
      <c r="J23" s="5" t="s">
        <v>593</v>
      </c>
      <c r="K23" s="4" t="s">
        <v>43</v>
      </c>
      <c r="L23" s="4" t="s">
        <v>44</v>
      </c>
      <c r="M23" s="5"/>
      <c r="N23" s="4" t="s">
        <v>295</v>
      </c>
      <c r="O23" s="4"/>
      <c r="P23" s="5" t="s">
        <v>594</v>
      </c>
    </row>
    <row r="24" ht="60" customHeight="1" spans="2:16">
      <c r="B24" s="4">
        <v>20</v>
      </c>
      <c r="C24" s="4" t="s">
        <v>191</v>
      </c>
      <c r="D24" s="4" t="s">
        <v>153</v>
      </c>
      <c r="E24" s="13" t="s">
        <v>68</v>
      </c>
      <c r="F24" s="5" t="s">
        <v>192</v>
      </c>
      <c r="G24" s="5" t="s">
        <v>595</v>
      </c>
      <c r="H24" s="5" t="s">
        <v>596</v>
      </c>
      <c r="I24" s="5" t="s">
        <v>597</v>
      </c>
      <c r="J24" s="5" t="s">
        <v>598</v>
      </c>
      <c r="K24" s="4" t="s">
        <v>43</v>
      </c>
      <c r="L24" s="4" t="s">
        <v>44</v>
      </c>
      <c r="M24" s="5"/>
      <c r="N24" s="4" t="s">
        <v>295</v>
      </c>
      <c r="O24" s="4"/>
      <c r="P24" s="5" t="s">
        <v>599</v>
      </c>
    </row>
    <row r="25" ht="46.5" customHeight="1" spans="2:16">
      <c r="B25" s="4">
        <v>21</v>
      </c>
      <c r="C25" s="4" t="s">
        <v>193</v>
      </c>
      <c r="D25" s="4" t="s">
        <v>153</v>
      </c>
      <c r="E25" s="14" t="s">
        <v>89</v>
      </c>
      <c r="F25" s="5" t="s">
        <v>194</v>
      </c>
      <c r="G25" s="5" t="s">
        <v>413</v>
      </c>
      <c r="H25" s="5" t="s">
        <v>600</v>
      </c>
      <c r="I25" s="5" t="s">
        <v>601</v>
      </c>
      <c r="J25" s="5" t="s">
        <v>602</v>
      </c>
      <c r="K25" s="4" t="s">
        <v>50</v>
      </c>
      <c r="L25" s="4" t="s">
        <v>44</v>
      </c>
      <c r="M25" s="5"/>
      <c r="N25" s="4" t="s">
        <v>295</v>
      </c>
      <c r="O25" s="4"/>
      <c r="P25" s="5" t="s">
        <v>603</v>
      </c>
    </row>
    <row r="26" ht="33" customHeight="1" spans="2:16">
      <c r="B26" s="4">
        <v>22</v>
      </c>
      <c r="C26" s="4" t="s">
        <v>195</v>
      </c>
      <c r="D26" s="4" t="s">
        <v>153</v>
      </c>
      <c r="E26" s="14" t="s">
        <v>89</v>
      </c>
      <c r="F26" s="5" t="s">
        <v>196</v>
      </c>
      <c r="G26" s="5" t="s">
        <v>604</v>
      </c>
      <c r="H26" s="5" t="s">
        <v>605</v>
      </c>
      <c r="I26" s="5" t="s">
        <v>293</v>
      </c>
      <c r="J26" s="5" t="s">
        <v>606</v>
      </c>
      <c r="K26" s="4" t="s">
        <v>43</v>
      </c>
      <c r="L26" s="4" t="s">
        <v>44</v>
      </c>
      <c r="M26" s="5"/>
      <c r="N26" s="4" t="s">
        <v>295</v>
      </c>
      <c r="O26" s="4"/>
      <c r="P26" s="5" t="s">
        <v>607</v>
      </c>
    </row>
    <row r="27" ht="60" customHeight="1" spans="2:16">
      <c r="B27" s="4">
        <v>23</v>
      </c>
      <c r="C27" s="4" t="s">
        <v>197</v>
      </c>
      <c r="D27" s="4" t="s">
        <v>153</v>
      </c>
      <c r="E27" s="14" t="s">
        <v>89</v>
      </c>
      <c r="F27" s="5" t="s">
        <v>198</v>
      </c>
      <c r="G27" s="5" t="s">
        <v>608</v>
      </c>
      <c r="H27" s="5" t="s">
        <v>609</v>
      </c>
      <c r="I27" s="5" t="s">
        <v>610</v>
      </c>
      <c r="J27" s="5" t="s">
        <v>611</v>
      </c>
      <c r="K27" s="4" t="s">
        <v>50</v>
      </c>
      <c r="L27" s="4" t="s">
        <v>44</v>
      </c>
      <c r="M27" s="5"/>
      <c r="N27" s="4" t="s">
        <v>295</v>
      </c>
      <c r="O27" s="4"/>
      <c r="P27" s="5" t="s">
        <v>612</v>
      </c>
    </row>
    <row r="28" ht="46.5" customHeight="1" spans="2:16">
      <c r="B28" s="4">
        <v>24</v>
      </c>
      <c r="C28" s="4" t="s">
        <v>199</v>
      </c>
      <c r="D28" s="4" t="s">
        <v>153</v>
      </c>
      <c r="E28" s="14" t="s">
        <v>89</v>
      </c>
      <c r="F28" s="5" t="s">
        <v>200</v>
      </c>
      <c r="G28" s="5" t="s">
        <v>595</v>
      </c>
      <c r="H28" s="5" t="s">
        <v>613</v>
      </c>
      <c r="I28" s="5" t="s">
        <v>293</v>
      </c>
      <c r="J28" s="5" t="s">
        <v>614</v>
      </c>
      <c r="K28" s="4" t="s">
        <v>111</v>
      </c>
      <c r="L28" s="4" t="s">
        <v>44</v>
      </c>
      <c r="M28" s="5"/>
      <c r="N28" s="4" t="s">
        <v>295</v>
      </c>
      <c r="O28" s="4"/>
      <c r="P28" s="5" t="s">
        <v>615</v>
      </c>
    </row>
    <row r="29" ht="46.5" customHeight="1" spans="2:16">
      <c r="B29" s="4">
        <v>25</v>
      </c>
      <c r="C29" s="4" t="s">
        <v>201</v>
      </c>
      <c r="D29" s="4" t="s">
        <v>153</v>
      </c>
      <c r="E29" s="15" t="s">
        <v>98</v>
      </c>
      <c r="F29" s="5" t="s">
        <v>202</v>
      </c>
      <c r="G29" s="5" t="s">
        <v>616</v>
      </c>
      <c r="H29" s="5" t="s">
        <v>617</v>
      </c>
      <c r="I29" s="5" t="s">
        <v>512</v>
      </c>
      <c r="J29" s="5" t="s">
        <v>618</v>
      </c>
      <c r="K29" s="4" t="s">
        <v>50</v>
      </c>
      <c r="L29" s="4" t="s">
        <v>44</v>
      </c>
      <c r="M29" s="5"/>
      <c r="N29" s="4" t="s">
        <v>295</v>
      </c>
      <c r="O29" s="4"/>
      <c r="P29" s="5" t="s">
        <v>514</v>
      </c>
    </row>
  </sheetData>
  <autoFilter xmlns:etc="http://www.wps.cn/officeDocument/2017/etCustomData" ref="B4:P29" etc:filterBottomFollowUsedRange="0">
    <extLst/>
  </autoFilter>
  <conditionalFormatting sqref="N5:N29">
    <cfRule type="cellIs" dxfId="0" priority="2" operator="equal">
      <formula>"Pass"</formula>
    </cfRule>
    <cfRule type="cellIs" dxfId="1" priority="3" operator="equal">
      <formula>"Fail"</formula>
    </cfRule>
    <cfRule type="cellIs" dxfId="2" priority="4" operator="equal">
      <formula>"Blocked"</formula>
    </cfRule>
  </conditionalFormatting>
  <dataValidations count="1">
    <dataValidation type="list" allowBlank="1" sqref="N5:N29">
      <formula1>"Pass,Fail,Untested,Blocked,N/A"</formula1>
    </dataValidation>
  </dataValidations>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I45"/>
  <sheetViews>
    <sheetView showGridLines="0" workbookViewId="0">
      <selection activeCell="A1" sqref="A1"/>
    </sheetView>
  </sheetViews>
  <sheetFormatPr defaultColWidth="8.67619047619048" defaultRowHeight="15"/>
  <cols>
    <col min="1" max="1" width="4" customWidth="1"/>
    <col min="2" max="2" width="24" customWidth="1"/>
    <col min="3" max="3" width="26" customWidth="1"/>
    <col min="4" max="4" width="20" customWidth="1"/>
    <col min="5" max="5" width="14" customWidth="1"/>
    <col min="6" max="6" width="58" customWidth="1"/>
    <col min="7" max="8" width="12" customWidth="1"/>
    <col min="9" max="9" width="14" customWidth="1"/>
  </cols>
  <sheetData>
    <row r="2" ht="21.75" customHeight="1" spans="2:6">
      <c r="B2" s="1" t="s">
        <v>619</v>
      </c>
    </row>
    <row r="4" ht="17.25" spans="2:6">
      <c r="B4" s="2" t="s">
        <v>210</v>
      </c>
    </row>
    <row r="5" ht="30" customHeight="1" spans="2:6">
      <c r="B5" s="3" t="s">
        <v>30</v>
      </c>
      <c r="C5" s="3" t="s">
        <v>33</v>
      </c>
      <c r="D5" s="3" t="s">
        <v>620</v>
      </c>
      <c r="E5" s="3" t="s">
        <v>621</v>
      </c>
      <c r="F5" s="3" t="s">
        <v>622</v>
      </c>
    </row>
    <row r="6" ht="33" customHeight="1" spans="2:6">
      <c r="B6" s="4">
        <v>1</v>
      </c>
      <c r="C6" s="5" t="s">
        <v>623</v>
      </c>
      <c r="D6" s="4">
        <f>COUNTIF('TC_Chức Năng 1'!$E$5:$E$29,"Visual")</f>
        <v>5</v>
      </c>
      <c r="E6" s="6">
        <f>D6/$D$11</f>
        <v>0.2</v>
      </c>
      <c r="F6" s="5" t="s">
        <v>624</v>
      </c>
    </row>
    <row r="7" ht="33" customHeight="1" spans="2:6">
      <c r="B7" s="4">
        <v>2</v>
      </c>
      <c r="C7" s="5" t="s">
        <v>56</v>
      </c>
      <c r="D7" s="4">
        <f>COUNTIF('TC_Chức Năng 1'!$E$5:$E$29,"Validation")</f>
        <v>5</v>
      </c>
      <c r="E7" s="6">
        <f>D7/$D$11</f>
        <v>0.2</v>
      </c>
      <c r="F7" s="5" t="s">
        <v>625</v>
      </c>
    </row>
    <row r="8" ht="33" customHeight="1" spans="2:6">
      <c r="B8" s="4">
        <v>3</v>
      </c>
      <c r="C8" s="5" t="s">
        <v>68</v>
      </c>
      <c r="D8" s="4">
        <f>COUNTIF('TC_Chức Năng 1'!$E$5:$E$29,"Functionality")</f>
        <v>10</v>
      </c>
      <c r="E8" s="6">
        <f>D8/$D$11</f>
        <v>0.4</v>
      </c>
      <c r="F8" s="5" t="s">
        <v>626</v>
      </c>
    </row>
    <row r="9" ht="27.75" customHeight="1" spans="2:6">
      <c r="B9" s="4">
        <v>4</v>
      </c>
      <c r="C9" s="5" t="s">
        <v>89</v>
      </c>
      <c r="D9" s="4">
        <f>COUNTIF('TC_Chức Năng 1'!$E$5:$E$29,"Navigation")</f>
        <v>4</v>
      </c>
      <c r="E9" s="6">
        <f>D9/$D$11</f>
        <v>0.16</v>
      </c>
      <c r="F9" s="5" t="s">
        <v>627</v>
      </c>
    </row>
    <row r="10" ht="33" customHeight="1" spans="2:6">
      <c r="B10" s="4">
        <v>5</v>
      </c>
      <c r="C10" s="5" t="s">
        <v>98</v>
      </c>
      <c r="D10" s="4">
        <f>COUNTIF('TC_Chức Năng 1'!$E$5:$E$29,"Exception")</f>
        <v>1</v>
      </c>
      <c r="E10" s="6">
        <f>D10/$D$11</f>
        <v>0.04</v>
      </c>
      <c r="F10" s="5" t="s">
        <v>628</v>
      </c>
    </row>
    <row r="11" ht="27.75" customHeight="1" spans="2:6">
      <c r="B11" s="7" t="s">
        <v>629</v>
      </c>
      <c r="C11" s="8" t="s">
        <v>630</v>
      </c>
      <c r="D11" s="7">
        <f>SUM(D6:D10)</f>
        <v>25</v>
      </c>
      <c r="E11" s="9">
        <f>SUM(E6:E10)</f>
        <v>1</v>
      </c>
      <c r="F11" s="8" t="s">
        <v>631</v>
      </c>
    </row>
    <row r="13" ht="17.25" spans="2:6">
      <c r="B13" s="2" t="s">
        <v>244</v>
      </c>
    </row>
    <row r="14" ht="30" customHeight="1" spans="2:6">
      <c r="B14" s="3" t="s">
        <v>30</v>
      </c>
      <c r="C14" s="3" t="s">
        <v>33</v>
      </c>
      <c r="D14" s="3" t="s">
        <v>620</v>
      </c>
      <c r="E14" s="3" t="s">
        <v>621</v>
      </c>
      <c r="F14" s="3" t="s">
        <v>622</v>
      </c>
    </row>
    <row r="15" ht="33" customHeight="1" spans="2:6">
      <c r="B15" s="4">
        <v>1</v>
      </c>
      <c r="C15" s="5" t="s">
        <v>623</v>
      </c>
      <c r="D15" s="4">
        <f>COUNTIF('TC_Chức Năng 2'!$E$5:$E$29,"Visual")</f>
        <v>5</v>
      </c>
      <c r="E15" s="6">
        <f>D15/$D$20</f>
        <v>0.2</v>
      </c>
      <c r="F15" s="5" t="s">
        <v>632</v>
      </c>
    </row>
    <row r="16" ht="33" customHeight="1" spans="2:6">
      <c r="B16" s="4">
        <v>2</v>
      </c>
      <c r="C16" s="5" t="s">
        <v>56</v>
      </c>
      <c r="D16" s="4">
        <f>COUNTIF('TC_Chức Năng 2'!$E$5:$E$29,"Validation")</f>
        <v>5</v>
      </c>
      <c r="E16" s="6">
        <f>D16/$D$20</f>
        <v>0.2</v>
      </c>
      <c r="F16" s="5" t="s">
        <v>633</v>
      </c>
    </row>
    <row r="17" ht="33" customHeight="1" spans="2:9">
      <c r="B17" s="4">
        <v>3</v>
      </c>
      <c r="C17" s="5" t="s">
        <v>68</v>
      </c>
      <c r="D17" s="4">
        <f>COUNTIF('TC_Chức Năng 2'!$E$5:$E$29,"Functionality")</f>
        <v>10</v>
      </c>
      <c r="E17" s="6">
        <f>D17/$D$20</f>
        <v>0.4</v>
      </c>
      <c r="F17" s="5" t="s">
        <v>634</v>
      </c>
    </row>
    <row r="18" ht="33" customHeight="1" spans="2:9">
      <c r="B18" s="4">
        <v>4</v>
      </c>
      <c r="C18" s="5" t="s">
        <v>89</v>
      </c>
      <c r="D18" s="4">
        <f>COUNTIF('TC_Chức Năng 2'!$E$5:$E$29,"Navigation")</f>
        <v>4</v>
      </c>
      <c r="E18" s="6">
        <f>D18/$D$20</f>
        <v>0.16</v>
      </c>
      <c r="F18" s="5" t="s">
        <v>635</v>
      </c>
    </row>
    <row r="19" ht="27.75" customHeight="1" spans="2:9">
      <c r="B19" s="4">
        <v>5</v>
      </c>
      <c r="C19" s="5" t="s">
        <v>98</v>
      </c>
      <c r="D19" s="4">
        <f>COUNTIF('TC_Chức Năng 2'!$E$5:$E$29,"Exception")</f>
        <v>1</v>
      </c>
      <c r="E19" s="6">
        <f>D19/$D$20</f>
        <v>0.04</v>
      </c>
      <c r="F19" s="5" t="s">
        <v>636</v>
      </c>
    </row>
    <row r="20" ht="27.75" customHeight="1" spans="2:9">
      <c r="B20" s="7" t="s">
        <v>629</v>
      </c>
      <c r="C20" s="8" t="s">
        <v>637</v>
      </c>
      <c r="D20" s="7">
        <f>SUM(D15:D19)</f>
        <v>25</v>
      </c>
      <c r="E20" s="9">
        <f>SUM(E15:E19)</f>
        <v>1</v>
      </c>
      <c r="F20" s="8" t="s">
        <v>631</v>
      </c>
    </row>
    <row r="22" ht="17.25" spans="2:9">
      <c r="B22" s="2" t="s">
        <v>265</v>
      </c>
    </row>
    <row r="23" ht="30" customHeight="1" spans="2:9">
      <c r="B23" s="3" t="s">
        <v>30</v>
      </c>
      <c r="C23" s="3" t="s">
        <v>33</v>
      </c>
      <c r="D23" s="3" t="s">
        <v>620</v>
      </c>
      <c r="E23" s="3" t="s">
        <v>621</v>
      </c>
      <c r="F23" s="3" t="s">
        <v>622</v>
      </c>
    </row>
    <row r="24" ht="33" customHeight="1" spans="2:9">
      <c r="B24" s="4">
        <v>1</v>
      </c>
      <c r="C24" s="5" t="s">
        <v>623</v>
      </c>
      <c r="D24" s="4">
        <f>COUNTIF('TC_Chức Năng 3'!$E$5:$E$29,"Visual")</f>
        <v>5</v>
      </c>
      <c r="E24" s="6">
        <f>D24/$D$29</f>
        <v>0.2</v>
      </c>
      <c r="F24" s="5" t="s">
        <v>638</v>
      </c>
    </row>
    <row r="25" ht="33" customHeight="1" spans="2:9">
      <c r="B25" s="4">
        <v>2</v>
      </c>
      <c r="C25" s="5" t="s">
        <v>56</v>
      </c>
      <c r="D25" s="4">
        <f>COUNTIF('TC_Chức Năng 3'!$E$5:$E$29,"Validation")</f>
        <v>5</v>
      </c>
      <c r="E25" s="6">
        <f>D25/$D$29</f>
        <v>0.2</v>
      </c>
      <c r="F25" s="5" t="s">
        <v>639</v>
      </c>
    </row>
    <row r="26" ht="33" customHeight="1" spans="2:9">
      <c r="B26" s="4">
        <v>3</v>
      </c>
      <c r="C26" s="5" t="s">
        <v>68</v>
      </c>
      <c r="D26" s="4">
        <f>COUNTIF('TC_Chức Năng 3'!$E$5:$E$29,"Functionality")</f>
        <v>10</v>
      </c>
      <c r="E26" s="6">
        <f>D26/$D$29</f>
        <v>0.4</v>
      </c>
      <c r="F26" s="5" t="s">
        <v>640</v>
      </c>
    </row>
    <row r="27" ht="33" customHeight="1" spans="2:9">
      <c r="B27" s="4">
        <v>4</v>
      </c>
      <c r="C27" s="5" t="s">
        <v>89</v>
      </c>
      <c r="D27" s="4">
        <f>COUNTIF('TC_Chức Năng 3'!$E$5:$E$29,"Navigation")</f>
        <v>4</v>
      </c>
      <c r="E27" s="6">
        <f>D27/$D$29</f>
        <v>0.16</v>
      </c>
      <c r="F27" s="5" t="s">
        <v>641</v>
      </c>
    </row>
    <row r="28" ht="27.75" customHeight="1" spans="2:9">
      <c r="B28" s="4">
        <v>5</v>
      </c>
      <c r="C28" s="5" t="s">
        <v>98</v>
      </c>
      <c r="D28" s="4">
        <f>COUNTIF('TC_Chức Năng 3'!$E$5:$E$29,"Exception")</f>
        <v>1</v>
      </c>
      <c r="E28" s="6">
        <f>D28/$D$29</f>
        <v>0.04</v>
      </c>
      <c r="F28" s="5" t="s">
        <v>642</v>
      </c>
    </row>
    <row r="29" ht="27.75" customHeight="1" spans="2:9">
      <c r="B29" s="7" t="s">
        <v>629</v>
      </c>
      <c r="C29" s="8" t="s">
        <v>643</v>
      </c>
      <c r="D29" s="7">
        <f>SUM(D24:D28)</f>
        <v>25</v>
      </c>
      <c r="E29" s="9">
        <f>SUM(E24:E28)</f>
        <v>1</v>
      </c>
      <c r="F29" s="8" t="s">
        <v>631</v>
      </c>
    </row>
    <row r="31" ht="17.25" spans="2:9">
      <c r="B31" s="2" t="s">
        <v>644</v>
      </c>
    </row>
    <row r="32" ht="30" customHeight="1" spans="2:9">
      <c r="B32" s="3" t="s">
        <v>645</v>
      </c>
      <c r="C32" s="3" t="s">
        <v>646</v>
      </c>
      <c r="D32" s="3" t="s">
        <v>647</v>
      </c>
      <c r="E32" s="3" t="s">
        <v>295</v>
      </c>
      <c r="F32" s="3" t="s">
        <v>648</v>
      </c>
      <c r="G32" s="3" t="s">
        <v>293</v>
      </c>
      <c r="H32" s="3" t="s">
        <v>649</v>
      </c>
      <c r="I32" s="3" t="s">
        <v>650</v>
      </c>
    </row>
    <row r="33" spans="2:9">
      <c r="B33" s="4" t="s">
        <v>651</v>
      </c>
      <c r="C33" s="4">
        <f>COUNTIF('TC_Chức Năng 1'!$N$5:$N$29,"Pass")</f>
        <v>0</v>
      </c>
      <c r="D33" s="4">
        <f>COUNTIF('TC_Chức Năng 1'!$N$5:$N$29,"Fail")</f>
        <v>0</v>
      </c>
      <c r="E33" s="4">
        <f>COUNTIF('TC_Chức Năng 1'!$N$5:$N$29,"Untested")</f>
        <v>25</v>
      </c>
      <c r="F33" s="4">
        <f>COUNTIF('TC_Chức Năng 1'!$N$5:$N$29,"Blocked")</f>
        <v>0</v>
      </c>
      <c r="G33" s="4">
        <f>COUNTIF('TC_Chức Năng 1'!$N$5:$N$29,"N/A")</f>
        <v>0</v>
      </c>
      <c r="H33" s="4">
        <f>COUNTA('TC_Chức Năng 1'!$C$5:$C$29)</f>
        <v>25</v>
      </c>
      <c r="I33" s="6">
        <f>IF(H33-G33=0,0,C33/(H33-G33))</f>
        <v>0</v>
      </c>
    </row>
    <row r="34" spans="2:9">
      <c r="B34" s="4" t="s">
        <v>652</v>
      </c>
      <c r="C34" s="4">
        <f>COUNTIF('TC_Chức Năng 2'!$N$5:$N$29,"Pass")</f>
        <v>0</v>
      </c>
      <c r="D34" s="4">
        <f>COUNTIF('TC_Chức Năng 2'!$N$5:$N$29,"Fail")</f>
        <v>0</v>
      </c>
      <c r="E34" s="4">
        <f>COUNTIF('TC_Chức Năng 2'!$N$5:$N$29,"Untested")</f>
        <v>25</v>
      </c>
      <c r="F34" s="4">
        <f>COUNTIF('TC_Chức Năng 2'!$N$5:$N$29,"Blocked")</f>
        <v>0</v>
      </c>
      <c r="G34" s="4">
        <f>COUNTIF('TC_Chức Năng 2'!$N$5:$N$29,"N/A")</f>
        <v>0</v>
      </c>
      <c r="H34" s="4">
        <f>COUNTA('TC_Chức Năng 2'!$C$5:$C$29)</f>
        <v>25</v>
      </c>
      <c r="I34" s="6">
        <f>IF(H34-G34=0,0,C34/(H34-G34))</f>
        <v>0</v>
      </c>
    </row>
    <row r="35" spans="2:9">
      <c r="B35" s="4" t="s">
        <v>653</v>
      </c>
      <c r="C35" s="4">
        <f>COUNTIF('TC_Chức Năng 3'!$N$5:$N$29,"Pass")</f>
        <v>0</v>
      </c>
      <c r="D35" s="4">
        <f>COUNTIF('TC_Chức Năng 3'!$N$5:$N$29,"Fail")</f>
        <v>0</v>
      </c>
      <c r="E35" s="4">
        <f>COUNTIF('TC_Chức Năng 3'!$N$5:$N$29,"Untested")</f>
        <v>25</v>
      </c>
      <c r="F35" s="4">
        <f>COUNTIF('TC_Chức Năng 3'!$N$5:$N$29,"Blocked")</f>
        <v>0</v>
      </c>
      <c r="G35" s="4">
        <f>COUNTIF('TC_Chức Năng 3'!$N$5:$N$29,"N/A")</f>
        <v>0</v>
      </c>
      <c r="H35" s="4">
        <f>COUNTA('TC_Chức Năng 3'!$C$5:$C$29)</f>
        <v>25</v>
      </c>
      <c r="I35" s="6">
        <f>IF(H35-G35=0,0,C35/(H35-G35))</f>
        <v>0</v>
      </c>
    </row>
    <row r="36" spans="2:9">
      <c r="B36" s="7" t="s">
        <v>629</v>
      </c>
      <c r="C36" s="7">
        <f t="shared" ref="C36:H36" si="0">SUM(C33:C35)</f>
        <v>0</v>
      </c>
      <c r="D36" s="7">
        <f t="shared" si="0"/>
        <v>0</v>
      </c>
      <c r="E36" s="7">
        <f t="shared" si="0"/>
        <v>75</v>
      </c>
      <c r="F36" s="7">
        <f t="shared" si="0"/>
        <v>0</v>
      </c>
      <c r="G36" s="7">
        <f t="shared" si="0"/>
        <v>0</v>
      </c>
      <c r="H36" s="7">
        <f t="shared" si="0"/>
        <v>75</v>
      </c>
      <c r="I36" s="9">
        <f>IF(H36-G36=0,0,C36/(H36-G36))</f>
        <v>0</v>
      </c>
    </row>
    <row r="38" ht="17.25" spans="2:9">
      <c r="B38" s="2" t="s">
        <v>654</v>
      </c>
    </row>
    <row r="39" ht="30" customHeight="1" spans="2:9">
      <c r="B39" s="3" t="s">
        <v>645</v>
      </c>
      <c r="C39" s="3" t="s">
        <v>655</v>
      </c>
      <c r="D39" s="3" t="s">
        <v>656</v>
      </c>
      <c r="E39" s="3" t="s">
        <v>649</v>
      </c>
      <c r="F39" s="3" t="s">
        <v>657</v>
      </c>
    </row>
    <row r="40" spans="2:9">
      <c r="B40" s="4" t="s">
        <v>651</v>
      </c>
      <c r="C40" s="4">
        <f>COUNTIF('TC_Chức Năng 1'!$P$5:$P$29,"Automated*")</f>
        <v>23</v>
      </c>
      <c r="D40" s="4">
        <f>COUNTIF('TC_Chức Năng 1'!$P$5:$P$29,"Manual*")</f>
        <v>2</v>
      </c>
      <c r="E40" s="4">
        <f>C40+D40</f>
        <v>25</v>
      </c>
      <c r="F40" s="6">
        <f>IF(E40=0,0,C40/E40)</f>
        <v>0.92</v>
      </c>
    </row>
    <row r="41" spans="2:9">
      <c r="B41" s="4" t="s">
        <v>652</v>
      </c>
      <c r="C41" s="4">
        <f>COUNTIF('TC_Chức Năng 2'!$P$5:$P$29,"Automated*")</f>
        <v>18</v>
      </c>
      <c r="D41" s="4">
        <f>COUNTIF('TC_Chức Năng 2'!$P$5:$P$29,"Manual*")</f>
        <v>7</v>
      </c>
      <c r="E41" s="4">
        <f>C41+D41</f>
        <v>25</v>
      </c>
      <c r="F41" s="6">
        <f>IF(E41=0,0,C41/E41)</f>
        <v>0.72</v>
      </c>
    </row>
    <row r="42" spans="2:9">
      <c r="B42" s="4" t="s">
        <v>653</v>
      </c>
      <c r="C42" s="4">
        <f>COUNTIF('TC_Chức Năng 3'!$P$5:$P$29,"Automated*")</f>
        <v>16</v>
      </c>
      <c r="D42" s="4">
        <f>COUNTIF('TC_Chức Năng 3'!$P$5:$P$29,"Manual*")</f>
        <v>9</v>
      </c>
      <c r="E42" s="4">
        <f>C42+D42</f>
        <v>25</v>
      </c>
      <c r="F42" s="6">
        <f>IF(E42=0,0,C42/E42)</f>
        <v>0.64</v>
      </c>
    </row>
    <row r="43" spans="2:9">
      <c r="B43" s="7" t="s">
        <v>629</v>
      </c>
      <c r="C43" s="7">
        <f>SUM(C40:C42)</f>
        <v>57</v>
      </c>
      <c r="D43" s="7">
        <f>SUM(D40:D42)</f>
        <v>18</v>
      </c>
      <c r="E43" s="7">
        <f>SUM(E40:E42)</f>
        <v>75</v>
      </c>
      <c r="F43" s="9">
        <f>IF(E43=0,0,C43/E43)</f>
        <v>0.76</v>
      </c>
    </row>
    <row r="45" ht="30" customHeight="1" spans="2:9">
      <c r="B45" s="10" t="s">
        <v>658</v>
      </c>
      <c r="C45" s="10"/>
      <c r="D45" s="10"/>
      <c r="E45" s="10"/>
      <c r="F45" s="10"/>
      <c r="G45" s="10"/>
      <c r="H45" s="10"/>
      <c r="I45" s="10"/>
    </row>
  </sheetData>
  <mergeCells count="1">
    <mergeCell ref="B45:I45"/>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7</vt:i4>
      </vt:variant>
    </vt:vector>
  </HeadingPairs>
  <TitlesOfParts>
    <vt:vector size="7" baseType="lpstr">
      <vt:lpstr>Cover</vt:lpstr>
      <vt:lpstr>Test Case List</vt:lpstr>
      <vt:lpstr>Test Design</vt:lpstr>
      <vt:lpstr>TC_Chức Năng 1</vt:lpstr>
      <vt:lpstr>TC_Chức Năng 2</vt:lpstr>
      <vt:lpstr>TC_Chức Năng 3</vt:lpstr>
      <vt:lpstr>Test 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Nên Trương</cp:lastModifiedBy>
  <cp:revision>0</cp:revision>
  <dcterms:created xsi:type="dcterms:W3CDTF">2026-10-30T08:46:00Z</dcterms:created>
  <dcterms:modified xsi:type="dcterms:W3CDTF">2026-10-30T08:51:07Z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4AA4488E2B2D4D53932E5C91EA530071_12</vt:lpwstr>
  </property>
  <property fmtid="{D5CDD505-2E9C-101B-9397-08002B2CF9AE}" pid="3" name="KSOProductBuildVer">
    <vt:lpwstr>1033-12.1.0.29162</vt:lpwstr>
  </property>
  <property fmtid="{D5CDD505-2E9C-101B-9397-08002B2CF9AE}" pid="4" name="CalculationRule">
    <vt:i4>0</vt:i4>
  </property>
</Properties>
</file>