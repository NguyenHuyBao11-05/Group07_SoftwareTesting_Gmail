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Cover" sheetId="1" r:id="rId1"/>
    <sheet name="Test Case List" sheetId="2" r:id="rId2"/>
    <sheet name="Test Design" sheetId="3" r:id="rId3"/>
    <sheet name="TC_Chức Năng 1" sheetId="4" r:id="rId4"/>
    <sheet name="Test Report" sheetId="5" r:id="rId5"/>
  </sheets>
  <definedNames>
    <definedName name="_xlnm._FilterDatabase" localSheetId="1" hidden="1">'Test Case List'!$B$2:$I$27</definedName>
    <definedName name="_xlnm._FilterDatabase" localSheetId="3" hidden="1">'TC_Chức Năng 1'!$B$2:$L$27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<sst xmlns="http://schemas.openxmlformats.org/spreadsheetml/2006/main" count="532" uniqueCount="248">
  <si>
    <t>ĐỒ ÁN KIỂM THỬ PHẦN MỀM - BÀI TẬP CÁ NHÂN</t>
  </si>
  <si>
    <t>Đề tài: Kiểm thử Hệ thống Google Gmail (Group 07)</t>
  </si>
  <si>
    <t>Môn học:</t>
  </si>
  <si>
    <t>Kiểm thử và Đảm bảo chất lượng phần mềm (Software Testing &amp; Quality Assurance)</t>
  </si>
  <si>
    <t>Lớp / Nhóm:</t>
  </si>
  <si>
    <t>Group07</t>
  </si>
  <si>
    <t>Họ và tên SV:</t>
  </si>
  <si>
    <t>Trương Phúc Nên</t>
  </si>
  <si>
    <t>Mã số sinh viên:</t>
  </si>
  <si>
    <t>23130203</t>
  </si>
  <si>
    <t>Vai trò trong nhóm:</t>
  </si>
  <si>
    <t>Thành viên 1 – Cá nhân hóa giao diện và cấu hình hệ thống (Settings)</t>
  </si>
  <si>
    <t>Chức năng tuần này:</t>
  </si>
  <si>
    <t>Chức năng 1: Tùy chỉnh Bố cục Hộp thư &amp; Khung đọc thư (Inbox Layout, Density &amp; Reading Pane)</t>
  </si>
  <si>
    <t>GitHub Repo:</t>
  </si>
  <si>
    <t>Group07_SoftwareTesting_Gmail</t>
  </si>
  <si>
    <t>LỊCH SỬ THAY ĐỔI TÀI LIỆU (RECORD OF CHANGES)</t>
  </si>
  <si>
    <t>Phiên bản</t>
  </si>
  <si>
    <t>Ngày cập nhật</t>
  </si>
  <si>
    <t>Tóm tắt thay đổi</t>
  </si>
  <si>
    <t>Tác giả</t>
  </si>
  <si>
    <t>v1.0</t>
  </si>
  <si>
    <t>Thiết kế Test Design và Test Case chi tiết cho Chức năng 1 – Tùy chỉnh Bố cục Hộp thư &amp; Khung đọc thư</t>
  </si>
  <si>
    <t>DANH SÁCH TỔNG HỢP TEST CASES - CHỨC NĂNG 1</t>
  </si>
  <si>
    <t>STT</t>
  </si>
  <si>
    <t>Mã Test Case</t>
  </si>
  <si>
    <t>Mã Chức Năng</t>
  </si>
  <si>
    <t>Phân Loại Kịch Bản</t>
  </si>
  <si>
    <t>Tiêu Đề Kiểm Thử</t>
  </si>
  <si>
    <t>Độ Ưu Tiên</t>
  </si>
  <si>
    <t>Người Phụ Trách</t>
  </si>
  <si>
    <t>Trạng Thái</t>
  </si>
  <si>
    <t>TC_GMAIL_01_VIS_01</t>
  </si>
  <si>
    <t>FN_GMAIL_01</t>
  </si>
  <si>
    <t>Visual</t>
  </si>
  <si>
    <t>Kiểm tra các lựa chọn Density hiển thị trong Quick settings</t>
  </si>
  <si>
    <t>High</t>
  </si>
  <si>
    <t>Ready</t>
  </si>
  <si>
    <t>TC_GMAIL_01_VIS_02</t>
  </si>
  <si>
    <t>Kiểm tra giao diện lựa chọn Inbox type</t>
  </si>
  <si>
    <t>TC_GMAIL_01_VIS_03</t>
  </si>
  <si>
    <t>Kiểm tra khu vực Reading pane khi tùy chọn khả dụng</t>
  </si>
  <si>
    <t>Medium</t>
  </si>
  <si>
    <t>TC_GMAIL_01_VIS_04</t>
  </si>
  <si>
    <t>Kiểm tra bố cục danh sách thư sau khi đổi Density</t>
  </si>
  <si>
    <t>TC_GMAIL_01_VIS_05</t>
  </si>
  <si>
    <t>Kiểm tra bố cục Reading pane ở bên phải hoặc phía dưới</t>
  </si>
  <si>
    <t>TC_GMAIL_01_VAL_01</t>
  </si>
  <si>
    <t>Validation</t>
  </si>
  <si>
    <t>Kiểm tra các mức Density hợp lệ (phân vùng tương đương)</t>
  </si>
  <si>
    <t>TC_GMAIL_01_VAL_02</t>
  </si>
  <si>
    <t>Kiểm tra biên giữa mật độ thưa nhất và dày nhất</t>
  </si>
  <si>
    <t>TC_GMAIL_01_VAL_03</t>
  </si>
  <si>
    <t>Kiểm tra Inbox type chỉ nhận lựa chọn được cung cấp</t>
  </si>
  <si>
    <t>TC_GMAIL_01_VAL_04</t>
  </si>
  <si>
    <t>Kiểm tra tùy chọn Reading pane không khả dụng</t>
  </si>
  <si>
    <t>TC_GMAIL_01_VAL_05</t>
  </si>
  <si>
    <t>Kiểm tra trạng thái đơn nhất của Density sau khi đổi nhiều lần</t>
  </si>
  <si>
    <t>TC_GMAIL_01_FUN_01</t>
  </si>
  <si>
    <t>Functionality</t>
  </si>
  <si>
    <t>Đổi Density sang Default</t>
  </si>
  <si>
    <t>TC_GMAIL_01_FUN_02</t>
  </si>
  <si>
    <t>Đổi Density sang Comfortable</t>
  </si>
  <si>
    <t>TC_GMAIL_01_FUN_03</t>
  </si>
  <si>
    <t>Đổi Density sang Compact</t>
  </si>
  <si>
    <t>TC_GMAIL_01_FUN_04</t>
  </si>
  <si>
    <t>Chuyển Inbox type sang Unread first</t>
  </si>
  <si>
    <t>TC_GMAIL_01_FUN_05</t>
  </si>
  <si>
    <t>Chuyển Inbox type sang Important first</t>
  </si>
  <si>
    <t>TC_GMAIL_01_FUN_06</t>
  </si>
  <si>
    <t>Chuyển Inbox type sang Starred first</t>
  </si>
  <si>
    <t>TC_GMAIL_01_FUN_07</t>
  </si>
  <si>
    <t>Chuyển Inbox type về Default</t>
  </si>
  <si>
    <t>TC_GMAIL_01_FUN_08</t>
  </si>
  <si>
    <t>Bật Reading pane ở bên phải</t>
  </si>
  <si>
    <t>TC_GMAIL_01_FUN_09</t>
  </si>
  <si>
    <t>Đổi Reading pane từ bên phải xuống phía dưới</t>
  </si>
  <si>
    <t>TC_GMAIL_01_FUN_10</t>
  </si>
  <si>
    <t>Tắt Reading pane</t>
  </si>
  <si>
    <t>TC_GMAIL_01_NAV_01</t>
  </si>
  <si>
    <t>Navigation</t>
  </si>
  <si>
    <t>Kiểm tra cấu hình Density được giữ sau khi tải lại trang</t>
  </si>
  <si>
    <t>TC_GMAIL_01_NAV_02</t>
  </si>
  <si>
    <t>Kiểm tra Inbox type được giữ sau khi tải lại trang</t>
  </si>
  <si>
    <t>TC_GMAIL_01_NAV_03</t>
  </si>
  <si>
    <t>Kiểm tra Reading pane được giữ sau khi tải lại trang</t>
  </si>
  <si>
    <t>TC_GMAIL_01_NAV_04</t>
  </si>
  <si>
    <t>Kiểm tra cấu hình sau khi rời Gmail và mở lại</t>
  </si>
  <si>
    <t>TC_GMAIL_01_EXC_01</t>
  </si>
  <si>
    <t>Exception</t>
  </si>
  <si>
    <t>Kiểm tra khả năng tiếp tục dùng Inbox sau khi thay đổi nhiều cài đặt liên tiếp</t>
  </si>
  <si>
    <t>THIẾT KẾ KỊCH BẢN KIỂM THỬ (TEST DESIGN / VIEWPOINTS) - CHỨC NĂNG 1</t>
  </si>
  <si>
    <t>Mã Kịch Bản (Scenario ID)</t>
  </si>
  <si>
    <t>Chức Năng Kiểm Thử</t>
  </si>
  <si>
    <t>Kỹ Thuật Áp Dụng</t>
  </si>
  <si>
    <t>Mục Tiêu Kiểm Thử</t>
  </si>
  <si>
    <t>Số Lượng TC</t>
  </si>
  <si>
    <t>Ghi Chú</t>
  </si>
  <si>
    <t>TS_GMAIL_01_VIS</t>
  </si>
  <si>
    <t>Giao diện Density, Inbox type và Reading pane</t>
  </si>
  <si>
    <t>GUI Review &amp; Usability Testing</t>
  </si>
  <si>
    <t>Kiểm tra khả năng nhận biết lựa chọn, bố cục và khung đọc theo cấu hình khả dụng.</t>
  </si>
  <si>
    <t>Kiểm thử giao diện</t>
  </si>
  <si>
    <t>TS_GMAIL_01_VAL_DENSITY</t>
  </si>
  <si>
    <t>Các mức Density và trạng thái lựa chọn</t>
  </si>
  <si>
    <t>Equivalence Partitioning &amp; Boundary Analysis</t>
  </si>
  <si>
    <t>Kiểm tra các mức mật độ hợp lệ, mức rộng nhất/gọn nhất và trạng thái chỉ chọn một mức.</t>
  </si>
  <si>
    <t>Phân vùng và biên của các lựa chọn</t>
  </si>
  <si>
    <t>TS_GMAIL_01_VAL_SETTINGS</t>
  </si>
  <si>
    <t>Lựa chọn Inbox type và điều kiện khả dụng</t>
  </si>
  <si>
    <t>Equivalence Partitioning</t>
  </si>
  <si>
    <t>Xác minh chỉ chọn kiểu Inbox được giao diện cung cấp và xử lý đúng khi Reading pane không khả dụng.</t>
  </si>
  <si>
    <t>Không giả định mọi tài khoản có cùng tùy chọn</t>
  </si>
  <si>
    <t>TS_GMAIL_01_FUN_DENSITY</t>
  </si>
  <si>
    <t>Thay đổi Density</t>
  </si>
  <si>
    <t>Use Case Testing</t>
  </si>
  <si>
    <t>Kiểm tra áp dụng các mức Default, Comfortable và Compact khi được cung cấp.</t>
  </si>
  <si>
    <t>Nghiệp vụ chính</t>
  </si>
  <si>
    <t>TS_GMAIL_01_FUN_INBOX</t>
  </si>
  <si>
    <t>Thay đổi Inbox type</t>
  </si>
  <si>
    <t>Kiểm tra chuyển giữa Default, Unread first, Important first và Starred first khi lựa chọn được cung cấp.</t>
  </si>
  <si>
    <t>TS_GMAIL_01_FUN_READING</t>
  </si>
  <si>
    <t>Bật/tắt và đổi vị trí Reading pane</t>
  </si>
  <si>
    <t>State Transition Testing</t>
  </si>
  <si>
    <t>Kiểm tra chuyển trạng thái tắt/bật, chuyển vị trí bên phải/bên dưới và hiển thị nội dung thư.</t>
  </si>
  <si>
    <t>Chỉ áp dụng nếu tính năng có sẵn</t>
  </si>
  <si>
    <t>TS_GMAIL_01_PERSIST</t>
  </si>
  <si>
    <t>Lưu cấu hình, điều hướng và ngoại lệ giao diện</t>
  </si>
  <si>
    <t>State Transition Testing &amp; Error Guessing</t>
  </si>
  <si>
    <t>Kiểm tra duy trì cấu hình sau reload/mở lại và khả năng tiếp tục sử dụng Inbox sau nhiều thay đổi.</t>
  </si>
  <si>
    <t>Kiểm tra trạng thái lưu và độ ổn định</t>
  </si>
  <si>
    <t>DANH SÁCH TEST CASES CHI TIẾT - CHỨC NĂNG 1: INBOX LAYOUT, DENSITY &amp; READING PANE</t>
  </si>
  <si>
    <t>Mã TC (ID)</t>
  </si>
  <si>
    <t>Phân Loại</t>
  </si>
  <si>
    <t>Tên Kịch Bản / Mục Tiêu</t>
  </si>
  <si>
    <t>Điều Kiện Tiên Quyết</t>
  </si>
  <si>
    <t>Các Bước Thực Hiện</t>
  </si>
  <si>
    <t>Dữ Liệu Đầu Vào</t>
  </si>
  <si>
    <t>Kết Quả Mong Chờ</t>
  </si>
  <si>
    <t>Đã đăng nhập Gmail; trang Gmail tải xong; Quick settings khả dụng.</t>
  </si>
  <si>
    <t>1. Mở Gmail.
2. Nhấn biểu tượng Settings (bánh răng).
3. Quan sát khu vực Density trong Quick settings.</t>
  </si>
  <si>
    <t>N/A</t>
  </si>
  <si>
    <t>Khu vực Density hiển thị các lựa chọn khả dụng (thường gồm Default, Comfortable, Compact) và có thể nhận biết lựa chọn đang được áp dụng; không có nhãn bị chồng lấp hoặc cắt mất.</t>
  </si>
  <si>
    <t>Đã đăng nhập Gmail; Quick settings khả dụng.</t>
  </si>
  <si>
    <t>1. Mở Quick settings.
2. Tìm khu vực Inbox type.
3. Quan sát tên và trạng thái các lựa chọn.</t>
  </si>
  <si>
    <t>Các kiểu Inbox được tài khoản hỗ trợ hiển thị rõ ràng; lựa chọn hiện tại được đánh dấu nhất quán. Không yêu cầu mọi tài khoản phải có cùng danh sách lựa chọn.</t>
  </si>
  <si>
    <t>Đã đăng nhập Gmail; tài khoản/giao diện có hỗ trợ Reading pane.</t>
  </si>
  <si>
    <t>1. Mở Quick settings.
2. Tìm Reading pane.
3. Quan sát trạng thái và các vị trí được cung cấp.</t>
  </si>
  <si>
    <t>Reading pane và các tùy chọn vị trí khả dụng hiển thị rõ ràng; nếu tính năng không được cung cấp trong tài khoản thì ghi N/A, không đánh dấu lỗi sản phẩm.</t>
  </si>
  <si>
    <t>Inbox có nhiều email với chủ đề/người gửi khác nhau.</t>
  </si>
  <si>
    <t>1. Mở Quick settings.
2. Chọn lần lượt các mức Density khả dụng.
3. Quan sát khoảng cách hàng, biểu tượng và nội dung thư.</t>
  </si>
  <si>
    <t>Density: từng lựa chọn khả dụng</t>
  </si>
  <si>
    <t>Khoảng cách/độ cao hàng thay đổi phù hợp với mức Density; nội dung người gửi, chủ đề và biểu tượng vẫn đọc được, không bị chồng lấn.</t>
  </si>
  <si>
    <t>Reading pane và ít nhất một vị trí được hỗ trợ khả dụng; Inbox có email.</t>
  </si>
  <si>
    <t>1. Mở Quick settings.
2. Chọn vị trí bên phải, quan sát.
3. Chọn vị trí phía dưới, quan sát nếu có.</t>
  </si>
  <si>
    <t>Reading pane: Right of inbox / Below inbox (nếu có)</t>
  </si>
  <si>
    <t>Khung đọc xuất hiện đúng vùng đã chọn; danh sách thư vẫn có thể nhận biết và nội dung thư không bị che khuất bất thường.</t>
  </si>
  <si>
    <t>Quick settings khả dụng.</t>
  </si>
  <si>
    <t>1. Chọn từng mức Density được liệt kê.
2. Quan sát dấu chọn và giao diện sau mỗi lần chọn.</t>
  </si>
  <si>
    <t>Mỗi lựa chọn Density được giao diện cung cấp</t>
  </si>
  <si>
    <t>Mỗi lựa chọn được chấp nhận; chỉ một mức được thể hiện là đang chọn tại một thời điểm; giao diện chuyển sang mật độ tương ứng.</t>
  </si>
  <si>
    <t>Density có ít nhất hai mức khả dụng.</t>
  </si>
  <si>
    <t>1. Chọn mức có khoảng cách hiển thị lớn nhất.
2. Quan sát danh sách.
3. Chọn mức có khoảng cách nhỏ nhất.
4. So sánh số hàng nhìn thấy trong cùng vùng màn hình.</t>
  </si>
  <si>
    <t>Density: mức rộng nhất và mức gọn nhất có sẵn</t>
  </si>
  <si>
    <t>Mức rộng có khoảng cách hàng lớn hơn và thường hiển thị ít hàng hơn; mức gọn có khoảng cách nhỏ hơn và thường hiển thị nhiều hàng hơn; không mất dữ liệu thư.</t>
  </si>
  <si>
    <t>1. Mở khu vực Inbox type.
2. Ghi lại các lựa chọn hiển thị.
3. Chọn một lựa chọn có sẵn.</t>
  </si>
  <si>
    <t>Một kiểu Inbox được hiển thị trong giao diện</t>
  </si>
  <si>
    <t>Gmail chỉ cho chọn qua các tùy chọn giao diện được cung cấp; lựa chọn hợp lệ được áp dụng, không cần nhập giá trị tùy ý.</t>
  </si>
  <si>
    <t>Tài khoản/giao diện không hiển thị Reading pane.</t>
  </si>
  <si>
    <t>1. Mở Quick settings.
2. Xác nhận không có mục Reading pane.
3. Kiểm tra không có nút/vị trí Reading pane ở khu vực cài đặt đang xem.</t>
  </si>
  <si>
    <t>Reading pane không được cung cấp</t>
  </si>
  <si>
    <t>Không thể chọn vị trí Reading pane khi tùy chọn không hiện diện; các phần cài đặt khác vẫn sử dụng được. Ghi nhận là N/A cho các test phụ thuộc tính năng.</t>
  </si>
  <si>
    <t>1. Chọn Density A.
2. Chọn Density B.
3. Mở lại Quick settings.</t>
  </si>
  <si>
    <t>Hai mức Density khả dụng A và B</t>
  </si>
  <si>
    <t>Chỉ Density B được đánh dấu là lựa chọn hiện tại sau thao tác cuối; không có trạng thái chọn đồng thời hai mức.</t>
  </si>
  <si>
    <t>1. Mở Settings.
2. Chọn Density: Default.
3. Đóng Quick settings và quan sát Inbox.</t>
  </si>
  <si>
    <t>Density = Default (nếu có)</t>
  </si>
  <si>
    <t>Default được đánh dấu là đang chọn; danh sách thư chuyển sang bố cục mặc định của Gmail; không có thông báo lỗi.</t>
  </si>
  <si>
    <t>Quick settings khả dụng; lựa chọn Comfortable được cung cấp.</t>
  </si>
  <si>
    <t>1. Mở Settings.
2. Chọn Density: Comfortable.
3. Quan sát danh sách thư.</t>
  </si>
  <si>
    <t>Density = Comfortable</t>
  </si>
  <si>
    <t>Comfortable được đánh dấu là đang chọn; khoảng cách hàng rộng hơn kiểu Compact nếu cả hai cùng khả dụng.</t>
  </si>
  <si>
    <t>Quick settings khả dụng; lựa chọn Compact được cung cấp.</t>
  </si>
  <si>
    <t>1. Mở Settings.
2. Chọn Density: Compact.
3. Quan sát danh sách thư.</t>
  </si>
  <si>
    <t>Density = Compact</t>
  </si>
  <si>
    <t>Compact được đánh dấu là đang chọn; khoảng cách hàng gọn hơn, các hàng thư được trình bày dày hơn mà thông tin vẫn nhận biết được.</t>
  </si>
  <si>
    <t>Inbox type Unread first được cung cấp; có cả thư đã đọc và chưa đọc trong Inbox.</t>
  </si>
  <si>
    <t>1. Mở Quick settings.
2. Chọn Inbox type: Unread first.
3. Quan sát các nhóm thư.</t>
  </si>
  <si>
    <t>Inbox type = Unread first</t>
  </si>
  <si>
    <t>Thư chưa đọc được ưu tiên hiển thị ở phần đầu theo bố cục Gmail; các thư khác vẫn có thể truy cập trong Inbox.</t>
  </si>
  <si>
    <t>Inbox type Important first được cung cấp; có thư được đánh dấu quan trọng hoặc hệ thống phân loại.</t>
  </si>
  <si>
    <t>1. Mở Quick settings.
2. Chọn Important first.
3. Quan sát các phần trong Inbox.</t>
  </si>
  <si>
    <t>Inbox type = Important first</t>
  </si>
  <si>
    <t>Inbox chuyển sang bố cục ưu tiên thư quan trọng ở phần đầu; các phần còn lại được hiển thị theo cấu hình Gmail.</t>
  </si>
  <si>
    <t>Inbox type Starred first được cung cấp; có ít nhất một thư được gắn sao.</t>
  </si>
  <si>
    <t>1. Mở Quick settings.
2. Chọn Starred first.
3. Quan sát Inbox.</t>
  </si>
  <si>
    <t>Inbox type = Starred first</t>
  </si>
  <si>
    <t>Thư có sao được ưu tiên ở phần đầu; các thư khác không bị xóa và vẫn có thể truy cập.</t>
  </si>
  <si>
    <t>Inbox type hiện tại không phải Default; Default được cung cấp.</t>
  </si>
  <si>
    <t>1. Mở Quick settings.
2. Chọn Inbox type: Default.
3. Quan sát Inbox.</t>
  </si>
  <si>
    <t>Inbox type = Default</t>
  </si>
  <si>
    <t>Inbox trở về bố cục Default; trạng thái lựa chọn phản ánh Default và thư vẫn hiển thị bình thường.</t>
  </si>
  <si>
    <t>Reading pane và tùy chọn bên phải khả dụng.</t>
  </si>
  <si>
    <t>1. Mở Quick settings.
2. Bật Reading pane nếu đang tắt.
3. Chọn Right of inbox.
4. Chọn một email.</t>
  </si>
  <si>
    <t>Reading pane = Right of inbox</t>
  </si>
  <si>
    <t>Khung xem trước thư xuất hiện bên phải danh sách (hoặc vùng Inbox); khi chọn email, nội dung thư hiển thị trong khung đọc theo giao diện Gmail.</t>
  </si>
  <si>
    <t>Reading pane đang bật; tùy chọn Below inbox khả dụng.</t>
  </si>
  <si>
    <t>1. Mở Quick settings.
2. Chọn Below inbox.
3. Chọn một email và quan sát.</t>
  </si>
  <si>
    <t>Reading pane = Below inbox</t>
  </si>
  <si>
    <t>Khung đọc chuyển xuống phía dưới danh sách thư; vị trí bên phải không còn được dùng.</t>
  </si>
  <si>
    <t>Reading pane đang bật và Quick settings khả dụng.</t>
  </si>
  <si>
    <t>1. Mở Quick settings.
2. Chọn No split / tắt Reading pane (nhãn tương đương trên giao diện).
3. Chọn một email.</t>
  </si>
  <si>
    <t>Reading pane = Off / No split</t>
  </si>
  <si>
    <t>Khung đọc chia đôi không còn hiển thị; khi mở email, Gmail sử dụng cách xem thư thông thường.</t>
  </si>
  <si>
    <t>Đã chọn một Density khác mặc định; Gmail đang mở.</t>
  </si>
  <si>
    <t>1. Chọn Density Compact (hoặc mức khác Default).
2. Tải lại trang bằng trình duyệt.
3. Mở Quick settings.</t>
  </si>
  <si>
    <t>Density đã chọn trước khi reload</t>
  </si>
  <si>
    <t>Sau khi tải lại, lựa chọn Density vẫn là mức đã chọn và bố cục tương ứng được giữ; nếu có thay đổi do chính sách tài khoản, ghi nhận thực tế.</t>
  </si>
  <si>
    <t>Đã chọn một Inbox type khác Default; tùy chọn khả dụng.</t>
  </si>
  <si>
    <t>1. Chọn Unread first (hoặc kiểu khác Default).
2. Tải lại trang.
3. Quan sát Inbox và Quick settings.</t>
  </si>
  <si>
    <t>Inbox type đã chọn trước khi reload</t>
  </si>
  <si>
    <t>Kiểu Inbox đã chọn vẫn được áp dụng sau khi tải lại; bố cục và trạng thái lựa chọn nhất quán.</t>
  </si>
  <si>
    <t>Reading pane khả dụng; đã chọn vị trí hoặc trạng thái bật/tắt.</t>
  </si>
  <si>
    <t>1. Chọn Reading pane ở một vị trí khả dụng.
2. Tải lại Gmail.
3. Quan sát Quick settings và Inbox.</t>
  </si>
  <si>
    <t>Reading pane: trạng thái/vị trí đã chọn</t>
  </si>
  <si>
    <t>Trạng thái và vị trí Reading pane được giữ sau khi tải lại nếu Gmail lưu cấu hình cho tài khoản; nếu tùy chọn không có, ghi N/A.</t>
  </si>
  <si>
    <t>Đã cấu hình Density/Inbox type/Reading pane; có thể mở lại cùng tài khoản trong phiên được phép.</t>
  </si>
  <si>
    <t>1. Ghi lại các lựa chọn hiện tại.
2. Đóng tab Gmail.
3. Mở lại Gmail trong cùng trình duyệt và tài khoản.
4. Kiểm tra các lựa chọn.</t>
  </si>
  <si>
    <t>Cấu hình đã lưu trước khi đóng tab</t>
  </si>
  <si>
    <t>Các tùy chọn được Gmail lưu vẫn giữ nguyên sau khi mở lại; không tự chuyển về cấu hình khác ngoài dự kiến.</t>
  </si>
  <si>
    <t>Quick settings khả dụng; ít nhất hai cài đặt trong phạm vi có thể thay đổi.</t>
  </si>
  <si>
    <t>1. Đổi Density.
2. Đổi Inbox type.
3. Đổi Reading pane nếu khả dụng.
4. Đóng Quick settings và mở một email.</t>
  </si>
  <si>
    <t>Một thay đổi cho mỗi tùy chọn khả dụng</t>
  </si>
  <si>
    <t>Các thay đổi không làm trang bị treo; Inbox vẫn điều hướng được, email có thể mở và không xuất hiện lỗi giao diện nghiêm trọng. Ghi N/A cho bước Reading pane nếu không có tùy chọn.</t>
  </si>
  <si>
    <t>BÁO CÁO TỔNG KẾT THIẾT KẾ TEST CASE - CHỨC NĂNG 1</t>
  </si>
  <si>
    <t>Số Lượng Test Cases</t>
  </si>
  <si>
    <t>Tỷ Lệ (%)</t>
  </si>
  <si>
    <t>Mô Tả Khóa Cạnh Kiểm Thử</t>
  </si>
  <si>
    <t>Visual / GUI</t>
  </si>
  <si>
    <t>Hiển thị và bố cục Density, Inbox type, Reading pane.</t>
  </si>
  <si>
    <t>Lựa chọn hợp lệ, biên mật độ, trạng thái đơn nhất và tùy chọn không khả dụng.</t>
  </si>
  <si>
    <t>Đổi Density, Inbox type; bật/tắt và thay đổi vị trí Reading pane.</t>
  </si>
  <si>
    <t>Navigation / Exception</t>
  </si>
  <si>
    <t>Duy trì cấu hình sau reload/mở lại; kiểm tra điều hướng và độ ổn định.</t>
  </si>
  <si>
    <t>TỔNG CỘNG</t>
  </si>
  <si>
    <t>Toàn bộ Chức năng 1</t>
  </si>
  <si>
    <t>25 test case được thiết kế; chưa thực thi kiểm thử thực tế.</t>
  </si>
  <si>
    <t>Lưu ý: Đây là báo cáo thiết kế. Các test case đang ở trạng thái Ready/Chưa thực thi; chưa có kết quả Pass/Fail.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</si>
</sst>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dd/mm/yyyy"/>
  </numFmts>
  <fonts count="27">
    <font>
      <sz val="11"/>
      <color theme="1"/>
      <name val="Calibri"/>
      <charset val="134"/>
      <scheme val="minor"/>
    </font>
    <font>
      <b/>
      <sz val="16"/>
      <color rgb="FF1F4E78"/>
      <name val="Calibri"/>
      <charset val="134"/>
    </font>
    <font>
      <b/>
      <sz val="10"/>
      <name val="Calibri"/>
      <charset val="134"/>
    </font>
    <font>
      <sz val="10"/>
      <name val="Calibri"/>
      <charset val="134"/>
    </font>
    <font>
      <b/>
      <sz val="11"/>
      <name val="Calibri"/>
      <charset val="134"/>
    </font>
    <font>
      <b/>
      <sz val="13"/>
      <color rgb="FF1F4E78"/>
      <name val="Calibri"/>
      <charset val="134"/>
    </font>
    <font>
      <b/>
      <sz val="11"/>
      <color rgb="FFFFFF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D9E1F2"/>
        <bgColor rgb="FFD9E1F2"/>
      </patternFill>
    </fill>
    <fill>
      <patternFill patternType="solid">
        <fgColor rgb="FFEDEDED"/>
        <bgColor rgb="FFEDEDED"/>
      </patternFill>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2">
    <xf numFmtId="0" fontId="0" fillId="0" borderId="0" xfId="0"/>
    <xf numFmtId="0" fontId="1" fillId="0" borderId="0" xfId="0" applyFont="1"/>
    <xf numFmtId="0" fontId="0" fillId="0" borderId="0" xfId="0" applyAlignment="1">
      <alignment vertical="top" wrapText="1"/>
    </xf>
    <xf numFmtId="178" fontId="0" fillId="0" borderId="0" xfId="0" applyNumberFormat="1" applyAlignment="1">
      <alignment vertical="top" wrapText="1"/>
    </xf>
    <xf numFmtId="0" fontId="2" fillId="0" borderId="1" xfId="0" applyFont="1" applyBorder="1" applyAlignment="1">
      <alignment vertical="center" wrapText="1"/>
    </xf>
    <xf numFmtId="178" fontId="2"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179" fontId="0" fillId="0" borderId="0" xfId="0" applyNumberFormat="1" applyAlignment="1">
      <alignment vertical="center" wrapText="1"/>
    </xf>
    <xf numFmtId="0" fontId="5" fillId="0" borderId="0" xfId="0" applyFont="1"/>
    <xf numFmtId="0" fontId="6" fillId="4" borderId="0" xfId="0" applyFont="1" applyFill="1" applyAlignment="1">
      <alignment horizontal="center" vertical="center" wrapText="1"/>
    </xf>
    <xf numFmtId="0" fontId="3" fillId="0" borderId="1" xfId="0" applyFont="1" applyBorder="1"/>
    <xf numFmtId="58" fontId="3" fillId="0" borderId="1"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7"/>
  <sheetViews>
    <sheetView tabSelected="1" workbookViewId="0">
      <selection activeCell="D8" sqref="D8"/>
    </sheetView>
  </sheetViews>
  <sheetFormatPr defaultColWidth="9" defaultRowHeight="15" outlineLevelCol="4"/>
  <cols>
    <col min="1" max="1" width="12" customWidth="1"/>
    <col min="2" max="2" width="45" customWidth="1"/>
    <col min="3" max="3" width="70" customWidth="1"/>
    <col min="4" max="4" width="72" customWidth="1"/>
    <col min="5" max="5" width="22" customWidth="1"/>
  </cols>
  <sheetData>
    <row r="1" spans="2:5">
      <c r="B1" s="12" t="s">
        <v>0</v>
      </c>
    </row>
    <row r="2" ht="21" customHeight="1" spans="2:5">
      <c r="B2" s="13" t="s">
        <v>1</v>
      </c>
    </row>
    <row r="3" ht="17.4" customHeight="1" spans="2:5">
      <c r="B3" s="14" t="s">
        <v>2</v>
      </c>
      <c r="C3" s="12" t="s">
        <v>3</v>
      </c>
    </row>
    <row r="4" spans="2:5">
      <c r="B4" s="12" t="s">
        <v>4</v>
      </c>
      <c r="C4" s="12" t="s">
        <v>5</v>
      </c>
    </row>
    <row r="5" ht="14.4" customHeight="1" spans="2:5">
      <c r="B5" s="15" t="s">
        <v>6</v>
      </c>
      <c r="C5" s="16" t="s">
        <v>7</v>
      </c>
    </row>
    <row r="6" ht="14.4" customHeight="1" spans="2:5">
      <c r="B6" s="15" t="s">
        <v>8</v>
      </c>
      <c r="C6" s="16" t="s">
        <v>9</v>
      </c>
    </row>
    <row r="7" ht="42" customHeight="1" spans="2:5">
      <c r="B7" s="15" t="s">
        <v>10</v>
      </c>
      <c r="C7" s="16" t="s">
        <v>11</v>
      </c>
    </row>
    <row r="8" ht="42" customHeight="1" spans="2:5">
      <c r="B8" s="15" t="s">
        <v>12</v>
      </c>
      <c r="C8" s="16" t="s">
        <v>13</v>
      </c>
    </row>
    <row r="9" ht="14.4" customHeight="1" spans="2:5">
      <c r="B9" s="15" t="s">
        <v>14</v>
      </c>
      <c r="C9" s="16" t="s">
        <v>15</v>
      </c>
    </row>
    <row r="10" ht="14.4" customHeight="1" spans="2:5">
      <c r="B10" s="15" t="s">
        <v>16</v>
      </c>
      <c r="C10" s="16" t="s">
        <v>13</v>
      </c>
    </row>
    <row r="11" ht="14.4" customHeight="1" spans="2:5">
      <c r="B11" s="15" t="s">
        <v>17</v>
      </c>
      <c r="C11" s="16" t="s">
        <v>18</v>
      </c>
      <c r="D11" s="12" t="s">
        <v>19</v>
      </c>
      <c r="E11" s="12" t="s">
        <v>20</v>
      </c>
    </row>
    <row r="12" ht="42" customHeight="1" spans="2:5">
      <c r="B12" s="12" t="s">
        <v>21</v>
      </c>
      <c r="C12" s="17">
        <v>46318</v>
      </c>
      <c r="D12" s="12" t="s">
        <v>22</v>
      </c>
      <c r="E12" s="12" t="s">
        <v>7</v>
      </c>
    </row>
    <row r="13" ht="17.4" customHeight="1" spans="2:5">
      <c r="B13" s="18"/>
    </row>
    <row r="14" ht="14.4" customHeight="1" spans="2:5">
      <c r="B14" s="19"/>
      <c r="C14" s="19"/>
      <c r="D14" s="19"/>
      <c r="E14" s="19"/>
    </row>
    <row r="15" ht="14.4" customHeight="1" spans="2:5">
      <c r="B15" s="6"/>
      <c r="C15" s="6"/>
      <c r="D15" s="20"/>
      <c r="E15" s="20"/>
    </row>
    <row r="16" ht="14.4" customHeight="1" spans="2:5">
      <c r="B16" s="6"/>
      <c r="C16" s="6"/>
      <c r="D16" s="20"/>
      <c r="E16" s="20"/>
    </row>
    <row r="17" ht="14.4" customHeight="1" spans="2:5">
      <c r="B17" s="6"/>
      <c r="C17" s="21"/>
      <c r="D17" s="20"/>
      <c r="E17" s="2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9"/>
  <sheetViews>
    <sheetView showGridLines="0" workbookViewId="0">
      <pane xSplit="2" ySplit="2" topLeftCell="C7" activePane="bottomRight" state="frozen"/>
      <selection/>
      <selection pane="topRight"/>
      <selection pane="bottomLeft"/>
      <selection pane="bottomRight" activeCell="B29" sqref="B29"/>
    </sheetView>
  </sheetViews>
  <sheetFormatPr defaultColWidth="9" defaultRowHeight="15"/>
  <cols>
    <col min="1" max="1" width="12" customWidth="1"/>
    <col min="2" max="2" width="42.7142857142857" customWidth="1"/>
    <col min="3" max="3" width="37.2857142857143" customWidth="1"/>
    <col min="4" max="4" width="15" customWidth="1"/>
    <col min="5" max="5" width="21" customWidth="1"/>
    <col min="6" max="6" width="45" customWidth="1"/>
    <col min="7" max="7" width="13" customWidth="1"/>
    <col min="8" max="8" width="18" customWidth="1"/>
    <col min="9" max="9" width="13" customWidth="1"/>
  </cols>
  <sheetData>
    <row r="1" spans="2:9">
      <c r="B1" t="s">
        <v>23</v>
      </c>
    </row>
    <row r="2" ht="21" customHeight="1" spans="2:9">
      <c r="B2" s="1" t="s">
        <v>24</v>
      </c>
      <c r="C2" t="s">
        <v>25</v>
      </c>
      <c r="D2" t="s">
        <v>26</v>
      </c>
      <c r="E2" t="s">
        <v>27</v>
      </c>
      <c r="F2" t="s">
        <v>28</v>
      </c>
      <c r="G2" t="s">
        <v>29</v>
      </c>
      <c r="H2" t="s">
        <v>30</v>
      </c>
      <c r="I2" t="s">
        <v>31</v>
      </c>
    </row>
    <row r="3" ht="42" customHeight="1" spans="2:9">
      <c r="B3" s="2">
        <v>1</v>
      </c>
      <c r="C3" s="2" t="s">
        <v>32</v>
      </c>
      <c r="D3" s="2" t="s">
        <v>33</v>
      </c>
      <c r="E3" s="2" t="s">
        <v>34</v>
      </c>
      <c r="F3" s="2" t="s">
        <v>35</v>
      </c>
      <c r="G3" s="2" t="s">
        <v>36</v>
      </c>
      <c r="H3" s="2" t="s">
        <v>7</v>
      </c>
      <c r="I3" s="2" t="s">
        <v>37</v>
      </c>
    </row>
    <row r="4" ht="42" customHeight="1" spans="2:9">
      <c r="B4" s="2">
        <v>2</v>
      </c>
      <c r="C4" s="2" t="s">
        <v>38</v>
      </c>
      <c r="D4" s="2" t="s">
        <v>33</v>
      </c>
      <c r="E4" s="2" t="s">
        <v>34</v>
      </c>
      <c r="F4" s="2" t="s">
        <v>39</v>
      </c>
      <c r="G4" s="2" t="s">
        <v>36</v>
      </c>
      <c r="H4" s="2" t="s">
        <v>7</v>
      </c>
      <c r="I4" s="2" t="s">
        <v>37</v>
      </c>
    </row>
    <row r="5" ht="42" customHeight="1" spans="2:9">
      <c r="B5" s="2">
        <v>3</v>
      </c>
      <c r="C5" s="2" t="s">
        <v>40</v>
      </c>
      <c r="D5" s="2" t="s">
        <v>33</v>
      </c>
      <c r="E5" s="2" t="s">
        <v>34</v>
      </c>
      <c r="F5" s="2" t="s">
        <v>41</v>
      </c>
      <c r="G5" s="2" t="s">
        <v>42</v>
      </c>
      <c r="H5" s="2" t="s">
        <v>7</v>
      </c>
      <c r="I5" s="2" t="s">
        <v>37</v>
      </c>
    </row>
    <row r="6" ht="42" customHeight="1" spans="2:9">
      <c r="B6" s="2">
        <v>4</v>
      </c>
      <c r="C6" s="2" t="s">
        <v>43</v>
      </c>
      <c r="D6" s="2" t="s">
        <v>33</v>
      </c>
      <c r="E6" s="2" t="s">
        <v>34</v>
      </c>
      <c r="F6" s="2" t="s">
        <v>44</v>
      </c>
      <c r="G6" s="2" t="s">
        <v>36</v>
      </c>
      <c r="H6" s="2" t="s">
        <v>7</v>
      </c>
      <c r="I6" s="2" t="s">
        <v>37</v>
      </c>
    </row>
    <row r="7" ht="42" customHeight="1" spans="2:9">
      <c r="B7" s="2">
        <v>5</v>
      </c>
      <c r="C7" s="2" t="s">
        <v>45</v>
      </c>
      <c r="D7" s="2" t="s">
        <v>33</v>
      </c>
      <c r="E7" s="2" t="s">
        <v>34</v>
      </c>
      <c r="F7" s="2" t="s">
        <v>46</v>
      </c>
      <c r="G7" s="2" t="s">
        <v>42</v>
      </c>
      <c r="H7" s="2" t="s">
        <v>7</v>
      </c>
      <c r="I7" s="2" t="s">
        <v>37</v>
      </c>
    </row>
    <row r="8" ht="42" customHeight="1" spans="2:9">
      <c r="B8" s="2">
        <v>6</v>
      </c>
      <c r="C8" s="2" t="s">
        <v>47</v>
      </c>
      <c r="D8" s="2" t="s">
        <v>33</v>
      </c>
      <c r="E8" s="2" t="s">
        <v>48</v>
      </c>
      <c r="F8" s="2" t="s">
        <v>49</v>
      </c>
      <c r="G8" s="2" t="s">
        <v>36</v>
      </c>
      <c r="H8" s="2" t="s">
        <v>7</v>
      </c>
      <c r="I8" s="2" t="s">
        <v>37</v>
      </c>
    </row>
    <row r="9" ht="42" customHeight="1" spans="2:9">
      <c r="B9" s="2">
        <v>7</v>
      </c>
      <c r="C9" s="2" t="s">
        <v>50</v>
      </c>
      <c r="D9" s="2" t="s">
        <v>33</v>
      </c>
      <c r="E9" s="2" t="s">
        <v>48</v>
      </c>
      <c r="F9" s="2" t="s">
        <v>51</v>
      </c>
      <c r="G9" s="2" t="s">
        <v>42</v>
      </c>
      <c r="H9" s="2" t="s">
        <v>7</v>
      </c>
      <c r="I9" s="2" t="s">
        <v>37</v>
      </c>
    </row>
    <row r="10" ht="42" customHeight="1" spans="2:9">
      <c r="B10" s="2">
        <v>8</v>
      </c>
      <c r="C10" s="2" t="s">
        <v>52</v>
      </c>
      <c r="D10" s="2" t="s">
        <v>33</v>
      </c>
      <c r="E10" s="2" t="s">
        <v>48</v>
      </c>
      <c r="F10" s="2" t="s">
        <v>53</v>
      </c>
      <c r="G10" s="2" t="s">
        <v>42</v>
      </c>
      <c r="H10" s="2" t="s">
        <v>7</v>
      </c>
      <c r="I10" s="2" t="s">
        <v>37</v>
      </c>
    </row>
    <row r="11" ht="42" customHeight="1" spans="2:9">
      <c r="B11" s="2">
        <v>9</v>
      </c>
      <c r="C11" s="2" t="s">
        <v>54</v>
      </c>
      <c r="D11" s="2" t="s">
        <v>33</v>
      </c>
      <c r="E11" s="2" t="s">
        <v>48</v>
      </c>
      <c r="F11" s="2" t="s">
        <v>55</v>
      </c>
      <c r="G11" s="2" t="s">
        <v>42</v>
      </c>
      <c r="H11" s="2" t="s">
        <v>7</v>
      </c>
      <c r="I11" s="2" t="s">
        <v>37</v>
      </c>
    </row>
    <row r="12" ht="42" customHeight="1" spans="2:9">
      <c r="B12" s="2">
        <v>10</v>
      </c>
      <c r="C12" s="2" t="s">
        <v>56</v>
      </c>
      <c r="D12" s="2" t="s">
        <v>33</v>
      </c>
      <c r="E12" s="2" t="s">
        <v>48</v>
      </c>
      <c r="F12" s="2" t="s">
        <v>57</v>
      </c>
      <c r="G12" s="2" t="s">
        <v>42</v>
      </c>
      <c r="H12" s="2" t="s">
        <v>7</v>
      </c>
      <c r="I12" s="2" t="s">
        <v>37</v>
      </c>
    </row>
    <row r="13" ht="42" customHeight="1" spans="2:9">
      <c r="B13" s="2">
        <v>11</v>
      </c>
      <c r="C13" s="2" t="s">
        <v>58</v>
      </c>
      <c r="D13" s="2" t="s">
        <v>33</v>
      </c>
      <c r="E13" s="2" t="s">
        <v>59</v>
      </c>
      <c r="F13" s="2" t="s">
        <v>60</v>
      </c>
      <c r="G13" s="2" t="s">
        <v>36</v>
      </c>
      <c r="H13" s="2" t="s">
        <v>7</v>
      </c>
      <c r="I13" s="2" t="s">
        <v>37</v>
      </c>
    </row>
    <row r="14" ht="42" customHeight="1" spans="2:9">
      <c r="B14" s="2">
        <v>12</v>
      </c>
      <c r="C14" s="2" t="s">
        <v>61</v>
      </c>
      <c r="D14" s="2" t="s">
        <v>33</v>
      </c>
      <c r="E14" s="2" t="s">
        <v>59</v>
      </c>
      <c r="F14" s="2" t="s">
        <v>62</v>
      </c>
      <c r="G14" s="2" t="s">
        <v>36</v>
      </c>
      <c r="H14" s="2" t="s">
        <v>7</v>
      </c>
      <c r="I14" s="2" t="s">
        <v>37</v>
      </c>
    </row>
    <row r="15" ht="42" customHeight="1" spans="2:9">
      <c r="B15" s="2">
        <v>13</v>
      </c>
      <c r="C15" s="2" t="s">
        <v>63</v>
      </c>
      <c r="D15" s="2" t="s">
        <v>33</v>
      </c>
      <c r="E15" s="2" t="s">
        <v>59</v>
      </c>
      <c r="F15" s="2" t="s">
        <v>64</v>
      </c>
      <c r="G15" s="2" t="s">
        <v>36</v>
      </c>
      <c r="H15" s="2" t="s">
        <v>7</v>
      </c>
      <c r="I15" s="2" t="s">
        <v>37</v>
      </c>
    </row>
    <row r="16" ht="42" customHeight="1" spans="2:9">
      <c r="B16" s="2">
        <v>14</v>
      </c>
      <c r="C16" s="2" t="s">
        <v>65</v>
      </c>
      <c r="D16" s="2" t="s">
        <v>33</v>
      </c>
      <c r="E16" s="2" t="s">
        <v>59</v>
      </c>
      <c r="F16" s="2" t="s">
        <v>66</v>
      </c>
      <c r="G16" s="2" t="s">
        <v>36</v>
      </c>
      <c r="H16" s="2" t="s">
        <v>7</v>
      </c>
      <c r="I16" s="2" t="s">
        <v>37</v>
      </c>
    </row>
    <row r="17" ht="42" customHeight="1" spans="2:9">
      <c r="B17" s="2">
        <v>15</v>
      </c>
      <c r="C17" s="2" t="s">
        <v>67</v>
      </c>
      <c r="D17" s="2" t="s">
        <v>33</v>
      </c>
      <c r="E17" s="2" t="s">
        <v>59</v>
      </c>
      <c r="F17" s="2" t="s">
        <v>68</v>
      </c>
      <c r="G17" s="2" t="s">
        <v>42</v>
      </c>
      <c r="H17" s="2" t="s">
        <v>7</v>
      </c>
      <c r="I17" s="2" t="s">
        <v>37</v>
      </c>
    </row>
    <row r="18" ht="42" customHeight="1" spans="2:9">
      <c r="B18" s="2">
        <v>16</v>
      </c>
      <c r="C18" s="2" t="s">
        <v>69</v>
      </c>
      <c r="D18" s="2" t="s">
        <v>33</v>
      </c>
      <c r="E18" s="2" t="s">
        <v>59</v>
      </c>
      <c r="F18" s="2" t="s">
        <v>70</v>
      </c>
      <c r="G18" s="2" t="s">
        <v>42</v>
      </c>
      <c r="H18" s="2" t="s">
        <v>7</v>
      </c>
      <c r="I18" s="2" t="s">
        <v>37</v>
      </c>
    </row>
    <row r="19" ht="42" customHeight="1" spans="2:9">
      <c r="B19" s="2">
        <v>17</v>
      </c>
      <c r="C19" s="2" t="s">
        <v>71</v>
      </c>
      <c r="D19" s="2" t="s">
        <v>33</v>
      </c>
      <c r="E19" s="2" t="s">
        <v>59</v>
      </c>
      <c r="F19" s="2" t="s">
        <v>72</v>
      </c>
      <c r="G19" s="2" t="s">
        <v>36</v>
      </c>
      <c r="H19" s="2" t="s">
        <v>7</v>
      </c>
      <c r="I19" s="2" t="s">
        <v>37</v>
      </c>
    </row>
    <row r="20" ht="42" customHeight="1" spans="2:9">
      <c r="B20" s="2">
        <v>18</v>
      </c>
      <c r="C20" s="2" t="s">
        <v>73</v>
      </c>
      <c r="D20" s="2" t="s">
        <v>33</v>
      </c>
      <c r="E20" s="2" t="s">
        <v>59</v>
      </c>
      <c r="F20" s="2" t="s">
        <v>74</v>
      </c>
      <c r="G20" s="2" t="s">
        <v>36</v>
      </c>
      <c r="H20" s="2" t="s">
        <v>7</v>
      </c>
      <c r="I20" s="2" t="s">
        <v>37</v>
      </c>
    </row>
    <row r="21" ht="42" customHeight="1" spans="2:9">
      <c r="B21" s="2">
        <v>19</v>
      </c>
      <c r="C21" s="2" t="s">
        <v>75</v>
      </c>
      <c r="D21" s="2" t="s">
        <v>33</v>
      </c>
      <c r="E21" s="2" t="s">
        <v>59</v>
      </c>
      <c r="F21" s="2" t="s">
        <v>76</v>
      </c>
      <c r="G21" s="2" t="s">
        <v>42</v>
      </c>
      <c r="H21" s="2" t="s">
        <v>7</v>
      </c>
      <c r="I21" s="2" t="s">
        <v>37</v>
      </c>
    </row>
    <row r="22" ht="42" customHeight="1" spans="2:9">
      <c r="B22" s="2">
        <v>20</v>
      </c>
      <c r="C22" s="2" t="s">
        <v>77</v>
      </c>
      <c r="D22" s="2" t="s">
        <v>33</v>
      </c>
      <c r="E22" s="2" t="s">
        <v>59</v>
      </c>
      <c r="F22" s="2" t="s">
        <v>78</v>
      </c>
      <c r="G22" s="2" t="s">
        <v>36</v>
      </c>
      <c r="H22" s="2" t="s">
        <v>7</v>
      </c>
      <c r="I22" s="2" t="s">
        <v>37</v>
      </c>
    </row>
    <row r="23" ht="42" customHeight="1" spans="2:9">
      <c r="B23" s="2">
        <v>21</v>
      </c>
      <c r="C23" s="2" t="s">
        <v>79</v>
      </c>
      <c r="D23" s="2" t="s">
        <v>33</v>
      </c>
      <c r="E23" s="2" t="s">
        <v>80</v>
      </c>
      <c r="F23" s="2" t="s">
        <v>81</v>
      </c>
      <c r="G23" s="2" t="s">
        <v>36</v>
      </c>
      <c r="H23" s="2" t="s">
        <v>7</v>
      </c>
      <c r="I23" s="2" t="s">
        <v>37</v>
      </c>
    </row>
    <row r="24" ht="42" customHeight="1" spans="2:9">
      <c r="B24" s="2">
        <v>22</v>
      </c>
      <c r="C24" s="2" t="s">
        <v>82</v>
      </c>
      <c r="D24" s="2" t="s">
        <v>33</v>
      </c>
      <c r="E24" s="2" t="s">
        <v>80</v>
      </c>
      <c r="F24" s="2" t="s">
        <v>83</v>
      </c>
      <c r="G24" s="2" t="s">
        <v>36</v>
      </c>
      <c r="H24" s="2" t="s">
        <v>7</v>
      </c>
      <c r="I24" s="2" t="s">
        <v>37</v>
      </c>
    </row>
    <row r="25" ht="42" customHeight="1" spans="2:9">
      <c r="B25" s="2">
        <v>23</v>
      </c>
      <c r="C25" s="2" t="s">
        <v>84</v>
      </c>
      <c r="D25" s="2" t="s">
        <v>33</v>
      </c>
      <c r="E25" s="2" t="s">
        <v>80</v>
      </c>
      <c r="F25" s="2" t="s">
        <v>85</v>
      </c>
      <c r="G25" s="2" t="s">
        <v>42</v>
      </c>
      <c r="H25" s="2" t="s">
        <v>7</v>
      </c>
      <c r="I25" s="2" t="s">
        <v>37</v>
      </c>
    </row>
    <row r="26" ht="42" customHeight="1" spans="2:9">
      <c r="B26" s="2">
        <v>24</v>
      </c>
      <c r="C26" s="2" t="s">
        <v>86</v>
      </c>
      <c r="D26" s="2" t="s">
        <v>33</v>
      </c>
      <c r="E26" s="2" t="s">
        <v>80</v>
      </c>
      <c r="F26" s="2" t="s">
        <v>87</v>
      </c>
      <c r="G26" s="2" t="s">
        <v>36</v>
      </c>
      <c r="H26" s="2" t="s">
        <v>7</v>
      </c>
      <c r="I26" s="2" t="s">
        <v>37</v>
      </c>
    </row>
    <row r="27" ht="42" customHeight="1" spans="2:9">
      <c r="B27" s="2">
        <v>25</v>
      </c>
      <c r="C27" s="2" t="s">
        <v>88</v>
      </c>
      <c r="D27" s="2" t="s">
        <v>33</v>
      </c>
      <c r="E27" s="2" t="s">
        <v>89</v>
      </c>
      <c r="F27" s="2" t="s">
        <v>90</v>
      </c>
      <c r="G27" s="2" t="s">
        <v>42</v>
      </c>
      <c r="H27" s="2" t="s">
        <v>7</v>
      </c>
      <c r="I27" s="2" t="s">
        <v>37</v>
      </c>
    </row>
    <row r="28" ht="27.6" customHeight="1" spans="2:9">
      <c r="B28" s="6"/>
      <c r="C28" s="6"/>
      <c r="D28" s="7"/>
      <c r="E28" s="11"/>
      <c r="F28" s="7"/>
      <c r="G28" s="6"/>
      <c r="H28" s="6"/>
      <c r="I28" s="6"/>
    </row>
    <row r="29" ht="27.6" customHeight="1" spans="2:9">
      <c r="B29" s="6"/>
      <c r="C29" s="6"/>
      <c r="D29" s="7"/>
      <c r="E29" s="11"/>
      <c r="F29" s="7"/>
      <c r="G29" s="6"/>
      <c r="H29" s="6"/>
      <c r="I29" s="6"/>
    </row>
  </sheetData>
  <autoFilter xmlns:etc="http://www.wps.cn/officeDocument/2017/etCustomData" ref="B2:I2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0"/>
  <sheetViews>
    <sheetView showGridLines="0" topLeftCell="D1" workbookViewId="0">
      <pane xSplit="2" ySplit="2" topLeftCell="F3" activePane="bottomRight" state="frozen"/>
      <selection/>
      <selection pane="topRight"/>
      <selection pane="bottomLeft"/>
      <selection pane="bottomRight" activeCell="A1" sqref="A1"/>
    </sheetView>
  </sheetViews>
  <sheetFormatPr defaultColWidth="9" defaultRowHeight="15" outlineLevelCol="7"/>
  <cols>
    <col min="1" max="1" width="12" customWidth="1"/>
    <col min="2" max="2" width="6" customWidth="1"/>
    <col min="3" max="3" width="30" customWidth="1"/>
    <col min="4" max="5" width="38" customWidth="1"/>
    <col min="6" max="6" width="55" customWidth="1"/>
    <col min="7" max="7" width="14" customWidth="1"/>
    <col min="8" max="8" width="38" customWidth="1"/>
  </cols>
  <sheetData>
    <row r="1" spans="2:8">
      <c r="B1" t="s">
        <v>91</v>
      </c>
    </row>
    <row r="2" ht="21" customHeight="1" spans="2:8">
      <c r="B2" s="1" t="s">
        <v>24</v>
      </c>
      <c r="C2" t="s">
        <v>92</v>
      </c>
      <c r="D2" t="s">
        <v>93</v>
      </c>
      <c r="E2" t="s">
        <v>94</v>
      </c>
      <c r="F2" t="s">
        <v>95</v>
      </c>
      <c r="G2" t="s">
        <v>96</v>
      </c>
      <c r="H2" t="s">
        <v>97</v>
      </c>
    </row>
    <row r="3" ht="66" customHeight="1" spans="2:8">
      <c r="B3" s="2">
        <v>1</v>
      </c>
      <c r="C3" s="2" t="s">
        <v>98</v>
      </c>
      <c r="D3" s="2" t="s">
        <v>99</v>
      </c>
      <c r="E3" s="2" t="s">
        <v>100</v>
      </c>
      <c r="F3" s="2" t="s">
        <v>101</v>
      </c>
      <c r="G3" s="2">
        <v>5</v>
      </c>
      <c r="H3" s="2" t="s">
        <v>102</v>
      </c>
    </row>
    <row r="4" ht="66" customHeight="1" spans="2:8">
      <c r="B4" s="2">
        <v>2</v>
      </c>
      <c r="C4" s="2" t="s">
        <v>103</v>
      </c>
      <c r="D4" s="2" t="s">
        <v>104</v>
      </c>
      <c r="E4" s="2" t="s">
        <v>105</v>
      </c>
      <c r="F4" s="2" t="s">
        <v>106</v>
      </c>
      <c r="G4" s="2">
        <v>3</v>
      </c>
      <c r="H4" s="2" t="s">
        <v>107</v>
      </c>
    </row>
    <row r="5" ht="66" customHeight="1" spans="2:8">
      <c r="B5" s="2">
        <v>3</v>
      </c>
      <c r="C5" s="2" t="s">
        <v>108</v>
      </c>
      <c r="D5" s="2" t="s">
        <v>109</v>
      </c>
      <c r="E5" s="2" t="s">
        <v>110</v>
      </c>
      <c r="F5" s="2" t="s">
        <v>111</v>
      </c>
      <c r="G5" s="2">
        <v>2</v>
      </c>
      <c r="H5" s="2" t="s">
        <v>112</v>
      </c>
    </row>
    <row r="6" ht="66" customHeight="1" spans="2:8">
      <c r="B6" s="2">
        <v>4</v>
      </c>
      <c r="C6" s="2" t="s">
        <v>113</v>
      </c>
      <c r="D6" s="2" t="s">
        <v>114</v>
      </c>
      <c r="E6" s="2" t="s">
        <v>115</v>
      </c>
      <c r="F6" s="2" t="s">
        <v>116</v>
      </c>
      <c r="G6" s="2">
        <v>3</v>
      </c>
      <c r="H6" s="2" t="s">
        <v>117</v>
      </c>
    </row>
    <row r="7" ht="66" customHeight="1" spans="2:8">
      <c r="B7" s="2">
        <v>5</v>
      </c>
      <c r="C7" s="2" t="s">
        <v>118</v>
      </c>
      <c r="D7" s="2" t="s">
        <v>119</v>
      </c>
      <c r="E7" s="2" t="s">
        <v>115</v>
      </c>
      <c r="F7" s="2" t="s">
        <v>120</v>
      </c>
      <c r="G7" s="2">
        <v>4</v>
      </c>
      <c r="H7" s="2" t="s">
        <v>117</v>
      </c>
    </row>
    <row r="8" ht="66" customHeight="1" spans="2:8">
      <c r="B8" s="2">
        <v>6</v>
      </c>
      <c r="C8" s="2" t="s">
        <v>121</v>
      </c>
      <c r="D8" s="2" t="s">
        <v>122</v>
      </c>
      <c r="E8" s="2" t="s">
        <v>123</v>
      </c>
      <c r="F8" s="2" t="s">
        <v>124</v>
      </c>
      <c r="G8" s="2">
        <v>3</v>
      </c>
      <c r="H8" s="2" t="s">
        <v>125</v>
      </c>
    </row>
    <row r="9" ht="66" customHeight="1" spans="2:8">
      <c r="B9" s="2">
        <v>7</v>
      </c>
      <c r="C9" s="2" t="s">
        <v>126</v>
      </c>
      <c r="D9" s="2" t="s">
        <v>127</v>
      </c>
      <c r="E9" s="2" t="s">
        <v>128</v>
      </c>
      <c r="F9" s="2" t="s">
        <v>129</v>
      </c>
      <c r="G9" s="2">
        <v>5</v>
      </c>
      <c r="H9" s="2" t="s">
        <v>130</v>
      </c>
    </row>
    <row r="10" spans="2:8">
      <c r="B10" s="6"/>
      <c r="C10" s="6"/>
      <c r="D10" s="7"/>
      <c r="E10" s="7"/>
      <c r="F10" s="7"/>
      <c r="G10" s="6"/>
      <c r="H10" s="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29"/>
  <sheetViews>
    <sheetView showGridLines="0" topLeftCell="A9" workbookViewId="0">
      <pane xSplit="2" ySplit="2" topLeftCell="C12" activePane="bottomRight" state="frozen"/>
      <selection/>
      <selection pane="topRight"/>
      <selection pane="bottomLeft"/>
      <selection pane="bottomRight" activeCell="A1" sqref="A1"/>
    </sheetView>
  </sheetViews>
  <sheetFormatPr defaultColWidth="9" defaultRowHeight="15"/>
  <cols>
    <col min="1" max="1" width="12" customWidth="1"/>
    <col min="2" max="2" width="6" customWidth="1"/>
    <col min="3" max="3" width="24" customWidth="1"/>
    <col min="4" max="5" width="16" customWidth="1"/>
    <col min="6" max="7" width="42" customWidth="1"/>
    <col min="8" max="8" width="48" customWidth="1"/>
    <col min="9" max="9" width="32" customWidth="1"/>
    <col min="10" max="10" width="52" customWidth="1"/>
    <col min="11" max="11" width="12" customWidth="1"/>
    <col min="12" max="12" width="14" customWidth="1"/>
  </cols>
  <sheetData>
    <row r="1" spans="2:12">
      <c r="B1" t="s">
        <v>131</v>
      </c>
    </row>
    <row r="2" ht="21" customHeight="1" spans="2:12">
      <c r="B2" s="1" t="s">
        <v>24</v>
      </c>
      <c r="C2" t="s">
        <v>132</v>
      </c>
      <c r="D2" t="s">
        <v>26</v>
      </c>
      <c r="E2" t="s">
        <v>133</v>
      </c>
      <c r="F2" t="s">
        <v>134</v>
      </c>
      <c r="G2" t="s">
        <v>135</v>
      </c>
      <c r="H2" t="s">
        <v>136</v>
      </c>
      <c r="I2" t="s">
        <v>137</v>
      </c>
      <c r="J2" t="s">
        <v>138</v>
      </c>
      <c r="K2" t="s">
        <v>29</v>
      </c>
      <c r="L2" t="s">
        <v>31</v>
      </c>
    </row>
    <row r="3" ht="85" customHeight="1" spans="2:12">
      <c r="B3" s="2">
        <v>1</v>
      </c>
      <c r="C3" s="2" t="s">
        <v>32</v>
      </c>
      <c r="D3" s="2" t="s">
        <v>33</v>
      </c>
      <c r="E3" s="2" t="s">
        <v>34</v>
      </c>
      <c r="F3" s="2" t="s">
        <v>35</v>
      </c>
      <c r="G3" s="2" t="s">
        <v>139</v>
      </c>
      <c r="H3" s="2" t="s">
        <v>140</v>
      </c>
      <c r="I3" s="2" t="s">
        <v>141</v>
      </c>
      <c r="J3" s="2" t="s">
        <v>142</v>
      </c>
      <c r="K3" s="2" t="s">
        <v>36</v>
      </c>
      <c r="L3" s="2" t="s">
        <v>37</v>
      </c>
    </row>
    <row r="4" ht="85" customHeight="1" spans="2:12">
      <c r="B4" s="2">
        <v>2</v>
      </c>
      <c r="C4" s="2" t="s">
        <v>38</v>
      </c>
      <c r="D4" s="2" t="s">
        <v>33</v>
      </c>
      <c r="E4" s="2" t="s">
        <v>34</v>
      </c>
      <c r="F4" s="2" t="s">
        <v>39</v>
      </c>
      <c r="G4" s="2" t="s">
        <v>143</v>
      </c>
      <c r="H4" s="2" t="s">
        <v>144</v>
      </c>
      <c r="I4" s="2" t="s">
        <v>141</v>
      </c>
      <c r="J4" s="2" t="s">
        <v>145</v>
      </c>
      <c r="K4" s="2" t="s">
        <v>36</v>
      </c>
      <c r="L4" s="2" t="s">
        <v>37</v>
      </c>
    </row>
    <row r="5" ht="85" customHeight="1" spans="2:12">
      <c r="B5" s="2">
        <v>3</v>
      </c>
      <c r="C5" s="2" t="s">
        <v>40</v>
      </c>
      <c r="D5" s="2" t="s">
        <v>33</v>
      </c>
      <c r="E5" s="2" t="s">
        <v>34</v>
      </c>
      <c r="F5" s="2" t="s">
        <v>41</v>
      </c>
      <c r="G5" s="2" t="s">
        <v>146</v>
      </c>
      <c r="H5" s="2" t="s">
        <v>147</v>
      </c>
      <c r="I5" s="2" t="s">
        <v>141</v>
      </c>
      <c r="J5" s="2" t="s">
        <v>148</v>
      </c>
      <c r="K5" s="2" t="s">
        <v>42</v>
      </c>
      <c r="L5" s="2" t="s">
        <v>37</v>
      </c>
    </row>
    <row r="6" ht="85" customHeight="1" spans="2:12">
      <c r="B6" s="2">
        <v>4</v>
      </c>
      <c r="C6" s="2" t="s">
        <v>43</v>
      </c>
      <c r="D6" s="2" t="s">
        <v>33</v>
      </c>
      <c r="E6" s="2" t="s">
        <v>34</v>
      </c>
      <c r="F6" s="2" t="s">
        <v>44</v>
      </c>
      <c r="G6" s="2" t="s">
        <v>149</v>
      </c>
      <c r="H6" s="2" t="s">
        <v>150</v>
      </c>
      <c r="I6" s="2" t="s">
        <v>151</v>
      </c>
      <c r="J6" s="2" t="s">
        <v>152</v>
      </c>
      <c r="K6" s="2" t="s">
        <v>36</v>
      </c>
      <c r="L6" s="2" t="s">
        <v>37</v>
      </c>
    </row>
    <row r="7" ht="85" customHeight="1" spans="2:12">
      <c r="B7" s="2">
        <v>5</v>
      </c>
      <c r="C7" s="2" t="s">
        <v>45</v>
      </c>
      <c r="D7" s="2" t="s">
        <v>33</v>
      </c>
      <c r="E7" s="2" t="s">
        <v>34</v>
      </c>
      <c r="F7" s="2" t="s">
        <v>46</v>
      </c>
      <c r="G7" s="2" t="s">
        <v>153</v>
      </c>
      <c r="H7" s="2" t="s">
        <v>154</v>
      </c>
      <c r="I7" s="2" t="s">
        <v>155</v>
      </c>
      <c r="J7" s="2" t="s">
        <v>156</v>
      </c>
      <c r="K7" s="2" t="s">
        <v>42</v>
      </c>
      <c r="L7" s="2" t="s">
        <v>37</v>
      </c>
    </row>
    <row r="8" ht="85" customHeight="1" spans="2:12">
      <c r="B8" s="2">
        <v>6</v>
      </c>
      <c r="C8" s="2" t="s">
        <v>47</v>
      </c>
      <c r="D8" s="2" t="s">
        <v>33</v>
      </c>
      <c r="E8" s="2" t="s">
        <v>48</v>
      </c>
      <c r="F8" s="2" t="s">
        <v>49</v>
      </c>
      <c r="G8" s="2" t="s">
        <v>157</v>
      </c>
      <c r="H8" s="2" t="s">
        <v>158</v>
      </c>
      <c r="I8" s="2" t="s">
        <v>159</v>
      </c>
      <c r="J8" s="2" t="s">
        <v>160</v>
      </c>
      <c r="K8" s="2" t="s">
        <v>36</v>
      </c>
      <c r="L8" s="2" t="s">
        <v>37</v>
      </c>
    </row>
    <row r="9" ht="85" customHeight="1" spans="2:12">
      <c r="B9" s="2">
        <v>7</v>
      </c>
      <c r="C9" s="2" t="s">
        <v>50</v>
      </c>
      <c r="D9" s="2" t="s">
        <v>33</v>
      </c>
      <c r="E9" s="2" t="s">
        <v>48</v>
      </c>
      <c r="F9" s="2" t="s">
        <v>51</v>
      </c>
      <c r="G9" s="2" t="s">
        <v>161</v>
      </c>
      <c r="H9" s="2" t="s">
        <v>162</v>
      </c>
      <c r="I9" s="2" t="s">
        <v>163</v>
      </c>
      <c r="J9" s="2" t="s">
        <v>164</v>
      </c>
      <c r="K9" s="2" t="s">
        <v>42</v>
      </c>
      <c r="L9" s="2" t="s">
        <v>37</v>
      </c>
    </row>
    <row r="10" ht="85" customHeight="1" spans="2:12">
      <c r="B10" s="2">
        <v>8</v>
      </c>
      <c r="C10" s="2" t="s">
        <v>52</v>
      </c>
      <c r="D10" s="2" t="s">
        <v>33</v>
      </c>
      <c r="E10" s="2" t="s">
        <v>48</v>
      </c>
      <c r="F10" s="2" t="s">
        <v>53</v>
      </c>
      <c r="G10" s="2" t="s">
        <v>157</v>
      </c>
      <c r="H10" s="2" t="s">
        <v>165</v>
      </c>
      <c r="I10" s="2" t="s">
        <v>166</v>
      </c>
      <c r="J10" s="2" t="s">
        <v>167</v>
      </c>
      <c r="K10" s="2" t="s">
        <v>42</v>
      </c>
      <c r="L10" s="2" t="s">
        <v>37</v>
      </c>
    </row>
    <row r="11" ht="85" customHeight="1" spans="2:12">
      <c r="B11" s="2">
        <v>9</v>
      </c>
      <c r="C11" s="2" t="s">
        <v>54</v>
      </c>
      <c r="D11" s="2" t="s">
        <v>33</v>
      </c>
      <c r="E11" s="2" t="s">
        <v>48</v>
      </c>
      <c r="F11" s="2" t="s">
        <v>55</v>
      </c>
      <c r="G11" s="2" t="s">
        <v>168</v>
      </c>
      <c r="H11" s="2" t="s">
        <v>169</v>
      </c>
      <c r="I11" s="2" t="s">
        <v>170</v>
      </c>
      <c r="J11" s="2" t="s">
        <v>171</v>
      </c>
      <c r="K11" s="2" t="s">
        <v>42</v>
      </c>
      <c r="L11" s="2" t="s">
        <v>37</v>
      </c>
    </row>
    <row r="12" ht="85" customHeight="1" spans="2:12">
      <c r="B12" s="2">
        <v>10</v>
      </c>
      <c r="C12" s="2" t="s">
        <v>56</v>
      </c>
      <c r="D12" s="2" t="s">
        <v>33</v>
      </c>
      <c r="E12" s="2" t="s">
        <v>48</v>
      </c>
      <c r="F12" s="2" t="s">
        <v>57</v>
      </c>
      <c r="G12" s="2" t="s">
        <v>157</v>
      </c>
      <c r="H12" s="2" t="s">
        <v>172</v>
      </c>
      <c r="I12" s="2" t="s">
        <v>173</v>
      </c>
      <c r="J12" s="2" t="s">
        <v>174</v>
      </c>
      <c r="K12" s="2" t="s">
        <v>42</v>
      </c>
      <c r="L12" s="2" t="s">
        <v>37</v>
      </c>
    </row>
    <row r="13" ht="85" customHeight="1" spans="2:12">
      <c r="B13" s="2">
        <v>11</v>
      </c>
      <c r="C13" s="2" t="s">
        <v>58</v>
      </c>
      <c r="D13" s="2" t="s">
        <v>33</v>
      </c>
      <c r="E13" s="2" t="s">
        <v>59</v>
      </c>
      <c r="F13" s="2" t="s">
        <v>60</v>
      </c>
      <c r="G13" s="2" t="s">
        <v>157</v>
      </c>
      <c r="H13" s="2" t="s">
        <v>175</v>
      </c>
      <c r="I13" s="2" t="s">
        <v>176</v>
      </c>
      <c r="J13" s="2" t="s">
        <v>177</v>
      </c>
      <c r="K13" s="2" t="s">
        <v>36</v>
      </c>
      <c r="L13" s="2" t="s">
        <v>37</v>
      </c>
    </row>
    <row r="14" ht="85" customHeight="1" spans="2:12">
      <c r="B14" s="2">
        <v>12</v>
      </c>
      <c r="C14" s="2" t="s">
        <v>61</v>
      </c>
      <c r="D14" s="2" t="s">
        <v>33</v>
      </c>
      <c r="E14" s="2" t="s">
        <v>59</v>
      </c>
      <c r="F14" s="2" t="s">
        <v>62</v>
      </c>
      <c r="G14" s="2" t="s">
        <v>178</v>
      </c>
      <c r="H14" s="2" t="s">
        <v>179</v>
      </c>
      <c r="I14" s="2" t="s">
        <v>180</v>
      </c>
      <c r="J14" s="2" t="s">
        <v>181</v>
      </c>
      <c r="K14" s="2" t="s">
        <v>36</v>
      </c>
      <c r="L14" s="2" t="s">
        <v>37</v>
      </c>
    </row>
    <row r="15" ht="85" customHeight="1" spans="2:12">
      <c r="B15" s="2">
        <v>13</v>
      </c>
      <c r="C15" s="2" t="s">
        <v>63</v>
      </c>
      <c r="D15" s="2" t="s">
        <v>33</v>
      </c>
      <c r="E15" s="2" t="s">
        <v>59</v>
      </c>
      <c r="F15" s="2" t="s">
        <v>64</v>
      </c>
      <c r="G15" s="2" t="s">
        <v>182</v>
      </c>
      <c r="H15" s="2" t="s">
        <v>183</v>
      </c>
      <c r="I15" s="2" t="s">
        <v>184</v>
      </c>
      <c r="J15" s="2" t="s">
        <v>185</v>
      </c>
      <c r="K15" s="2" t="s">
        <v>36</v>
      </c>
      <c r="L15" s="2" t="s">
        <v>37</v>
      </c>
    </row>
    <row r="16" ht="85" customHeight="1" spans="2:12">
      <c r="B16" s="2">
        <v>14</v>
      </c>
      <c r="C16" s="2" t="s">
        <v>65</v>
      </c>
      <c r="D16" s="2" t="s">
        <v>33</v>
      </c>
      <c r="E16" s="2" t="s">
        <v>59</v>
      </c>
      <c r="F16" s="2" t="s">
        <v>66</v>
      </c>
      <c r="G16" s="2" t="s">
        <v>186</v>
      </c>
      <c r="H16" s="2" t="s">
        <v>187</v>
      </c>
      <c r="I16" s="2" t="s">
        <v>188</v>
      </c>
      <c r="J16" s="2" t="s">
        <v>189</v>
      </c>
      <c r="K16" s="2" t="s">
        <v>36</v>
      </c>
      <c r="L16" s="2" t="s">
        <v>37</v>
      </c>
    </row>
    <row r="17" ht="85" customHeight="1" spans="2:12">
      <c r="B17" s="2">
        <v>15</v>
      </c>
      <c r="C17" s="2" t="s">
        <v>67</v>
      </c>
      <c r="D17" s="2" t="s">
        <v>33</v>
      </c>
      <c r="E17" s="2" t="s">
        <v>59</v>
      </c>
      <c r="F17" s="2" t="s">
        <v>68</v>
      </c>
      <c r="G17" s="2" t="s">
        <v>190</v>
      </c>
      <c r="H17" s="2" t="s">
        <v>191</v>
      </c>
      <c r="I17" s="2" t="s">
        <v>192</v>
      </c>
      <c r="J17" s="2" t="s">
        <v>193</v>
      </c>
      <c r="K17" s="2" t="s">
        <v>42</v>
      </c>
      <c r="L17" s="2" t="s">
        <v>37</v>
      </c>
    </row>
    <row r="18" ht="85" customHeight="1" spans="2:12">
      <c r="B18" s="2">
        <v>16</v>
      </c>
      <c r="C18" s="2" t="s">
        <v>69</v>
      </c>
      <c r="D18" s="2" t="s">
        <v>33</v>
      </c>
      <c r="E18" s="2" t="s">
        <v>59</v>
      </c>
      <c r="F18" s="2" t="s">
        <v>70</v>
      </c>
      <c r="G18" s="2" t="s">
        <v>194</v>
      </c>
      <c r="H18" s="2" t="s">
        <v>195</v>
      </c>
      <c r="I18" s="2" t="s">
        <v>196</v>
      </c>
      <c r="J18" s="2" t="s">
        <v>197</v>
      </c>
      <c r="K18" s="2" t="s">
        <v>42</v>
      </c>
      <c r="L18" s="2" t="s">
        <v>37</v>
      </c>
    </row>
    <row r="19" ht="85" customHeight="1" spans="2:12">
      <c r="B19" s="2">
        <v>17</v>
      </c>
      <c r="C19" s="2" t="s">
        <v>71</v>
      </c>
      <c r="D19" s="2" t="s">
        <v>33</v>
      </c>
      <c r="E19" s="2" t="s">
        <v>59</v>
      </c>
      <c r="F19" s="2" t="s">
        <v>72</v>
      </c>
      <c r="G19" s="2" t="s">
        <v>198</v>
      </c>
      <c r="H19" s="2" t="s">
        <v>199</v>
      </c>
      <c r="I19" s="2" t="s">
        <v>200</v>
      </c>
      <c r="J19" s="2" t="s">
        <v>201</v>
      </c>
      <c r="K19" s="2" t="s">
        <v>36</v>
      </c>
      <c r="L19" s="2" t="s">
        <v>37</v>
      </c>
    </row>
    <row r="20" ht="85" customHeight="1" spans="2:12">
      <c r="B20" s="2">
        <v>18</v>
      </c>
      <c r="C20" s="2" t="s">
        <v>73</v>
      </c>
      <c r="D20" s="2" t="s">
        <v>33</v>
      </c>
      <c r="E20" s="2" t="s">
        <v>59</v>
      </c>
      <c r="F20" s="2" t="s">
        <v>74</v>
      </c>
      <c r="G20" s="2" t="s">
        <v>202</v>
      </c>
      <c r="H20" s="2" t="s">
        <v>203</v>
      </c>
      <c r="I20" s="2" t="s">
        <v>204</v>
      </c>
      <c r="J20" s="2" t="s">
        <v>205</v>
      </c>
      <c r="K20" s="2" t="s">
        <v>36</v>
      </c>
      <c r="L20" s="2" t="s">
        <v>37</v>
      </c>
    </row>
    <row r="21" ht="85" customHeight="1" spans="2:12">
      <c r="B21" s="2">
        <v>19</v>
      </c>
      <c r="C21" s="2" t="s">
        <v>75</v>
      </c>
      <c r="D21" s="2" t="s">
        <v>33</v>
      </c>
      <c r="E21" s="2" t="s">
        <v>59</v>
      </c>
      <c r="F21" s="2" t="s">
        <v>76</v>
      </c>
      <c r="G21" s="2" t="s">
        <v>206</v>
      </c>
      <c r="H21" s="2" t="s">
        <v>207</v>
      </c>
      <c r="I21" s="2" t="s">
        <v>208</v>
      </c>
      <c r="J21" s="2" t="s">
        <v>209</v>
      </c>
      <c r="K21" s="2" t="s">
        <v>42</v>
      </c>
      <c r="L21" s="2" t="s">
        <v>37</v>
      </c>
    </row>
    <row r="22" ht="85" customHeight="1" spans="2:12">
      <c r="B22" s="2">
        <v>20</v>
      </c>
      <c r="C22" s="2" t="s">
        <v>77</v>
      </c>
      <c r="D22" s="2" t="s">
        <v>33</v>
      </c>
      <c r="E22" s="2" t="s">
        <v>59</v>
      </c>
      <c r="F22" s="2" t="s">
        <v>78</v>
      </c>
      <c r="G22" s="2" t="s">
        <v>210</v>
      </c>
      <c r="H22" s="2" t="s">
        <v>211</v>
      </c>
      <c r="I22" s="2" t="s">
        <v>212</v>
      </c>
      <c r="J22" s="2" t="s">
        <v>213</v>
      </c>
      <c r="K22" s="2" t="s">
        <v>36</v>
      </c>
      <c r="L22" s="2" t="s">
        <v>37</v>
      </c>
    </row>
    <row r="23" ht="85" customHeight="1" spans="2:12">
      <c r="B23" s="2">
        <v>21</v>
      </c>
      <c r="C23" s="2" t="s">
        <v>79</v>
      </c>
      <c r="D23" s="2" t="s">
        <v>33</v>
      </c>
      <c r="E23" s="2" t="s">
        <v>80</v>
      </c>
      <c r="F23" s="2" t="s">
        <v>81</v>
      </c>
      <c r="G23" s="2" t="s">
        <v>214</v>
      </c>
      <c r="H23" s="2" t="s">
        <v>215</v>
      </c>
      <c r="I23" s="2" t="s">
        <v>216</v>
      </c>
      <c r="J23" s="2" t="s">
        <v>217</v>
      </c>
      <c r="K23" s="2" t="s">
        <v>36</v>
      </c>
      <c r="L23" s="2" t="s">
        <v>37</v>
      </c>
    </row>
    <row r="24" ht="85" customHeight="1" spans="2:12">
      <c r="B24" s="2">
        <v>22</v>
      </c>
      <c r="C24" s="2" t="s">
        <v>82</v>
      </c>
      <c r="D24" s="2" t="s">
        <v>33</v>
      </c>
      <c r="E24" s="2" t="s">
        <v>80</v>
      </c>
      <c r="F24" s="2" t="s">
        <v>83</v>
      </c>
      <c r="G24" s="2" t="s">
        <v>218</v>
      </c>
      <c r="H24" s="2" t="s">
        <v>219</v>
      </c>
      <c r="I24" s="2" t="s">
        <v>220</v>
      </c>
      <c r="J24" s="2" t="s">
        <v>221</v>
      </c>
      <c r="K24" s="2" t="s">
        <v>36</v>
      </c>
      <c r="L24" s="2" t="s">
        <v>37</v>
      </c>
    </row>
    <row r="25" ht="85" customHeight="1" spans="2:12">
      <c r="B25" s="2">
        <v>23</v>
      </c>
      <c r="C25" s="2" t="s">
        <v>84</v>
      </c>
      <c r="D25" s="2" t="s">
        <v>33</v>
      </c>
      <c r="E25" s="2" t="s">
        <v>80</v>
      </c>
      <c r="F25" s="2" t="s">
        <v>85</v>
      </c>
      <c r="G25" s="2" t="s">
        <v>222</v>
      </c>
      <c r="H25" s="2" t="s">
        <v>223</v>
      </c>
      <c r="I25" s="2" t="s">
        <v>224</v>
      </c>
      <c r="J25" s="2" t="s">
        <v>225</v>
      </c>
      <c r="K25" s="2" t="s">
        <v>42</v>
      </c>
      <c r="L25" s="2" t="s">
        <v>37</v>
      </c>
    </row>
    <row r="26" ht="85" customHeight="1" spans="2:12">
      <c r="B26" s="2">
        <v>24</v>
      </c>
      <c r="C26" s="2" t="s">
        <v>86</v>
      </c>
      <c r="D26" s="2" t="s">
        <v>33</v>
      </c>
      <c r="E26" s="2" t="s">
        <v>80</v>
      </c>
      <c r="F26" s="2" t="s">
        <v>87</v>
      </c>
      <c r="G26" s="2" t="s">
        <v>226</v>
      </c>
      <c r="H26" s="2" t="s">
        <v>227</v>
      </c>
      <c r="I26" s="2" t="s">
        <v>228</v>
      </c>
      <c r="J26" s="2" t="s">
        <v>229</v>
      </c>
      <c r="K26" s="2" t="s">
        <v>36</v>
      </c>
      <c r="L26" s="2" t="s">
        <v>37</v>
      </c>
    </row>
    <row r="27" ht="85" customHeight="1" spans="2:12">
      <c r="B27" s="2">
        <v>25</v>
      </c>
      <c r="C27" s="2" t="s">
        <v>88</v>
      </c>
      <c r="D27" s="2" t="s">
        <v>33</v>
      </c>
      <c r="E27" s="2" t="s">
        <v>89</v>
      </c>
      <c r="F27" s="2" t="s">
        <v>90</v>
      </c>
      <c r="G27" s="2" t="s">
        <v>230</v>
      </c>
      <c r="H27" s="2" t="s">
        <v>231</v>
      </c>
      <c r="I27" s="2" t="s">
        <v>232</v>
      </c>
      <c r="J27" s="2" t="s">
        <v>233</v>
      </c>
      <c r="K27" s="2" t="s">
        <v>42</v>
      </c>
      <c r="L27" s="2" t="s">
        <v>37</v>
      </c>
    </row>
    <row r="28" ht="27.6" customHeight="1" spans="2:12">
      <c r="B28" s="6"/>
      <c r="C28" s="6"/>
      <c r="D28" s="6"/>
      <c r="E28" s="11"/>
      <c r="F28" s="7"/>
      <c r="G28" s="7"/>
      <c r="H28" s="7"/>
      <c r="I28" s="7"/>
      <c r="J28" s="7"/>
      <c r="K28" s="6"/>
      <c r="L28" s="6"/>
    </row>
    <row r="29" ht="41.4" customHeight="1" spans="2:12">
      <c r="B29" s="6"/>
      <c r="C29" s="6"/>
      <c r="D29" s="6"/>
      <c r="E29" s="11"/>
      <c r="F29" s="7"/>
      <c r="G29" s="7"/>
      <c r="H29" s="7"/>
      <c r="I29" s="7"/>
      <c r="J29" s="7"/>
      <c r="K29" s="6"/>
      <c r="L29" s="6"/>
    </row>
  </sheetData>
  <autoFilter xmlns:etc="http://www.wps.cn/officeDocument/2017/etCustomData" ref="B2:L27"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9"/>
  <sheetViews>
    <sheetView showGridLines="0" workbookViewId="0">
      <pane xSplit="1" ySplit="2" topLeftCell="B3" activePane="bottomRight" state="frozen"/>
      <selection/>
      <selection pane="topRight"/>
      <selection pane="bottomLeft"/>
      <selection pane="bottomRight" activeCell="C15" sqref="C15"/>
    </sheetView>
  </sheetViews>
  <sheetFormatPr defaultColWidth="9" defaultRowHeight="15" outlineLevelCol="5"/>
  <cols>
    <col min="1" max="1" width="12" customWidth="1"/>
    <col min="2" max="2" width="14" customWidth="1"/>
    <col min="3" max="3" width="30" customWidth="1"/>
    <col min="4" max="4" width="22" customWidth="1"/>
    <col min="5" max="5" width="14" customWidth="1"/>
    <col min="6" max="6" width="58" customWidth="1"/>
  </cols>
  <sheetData>
    <row r="1" spans="2:6">
      <c r="B1" t="s">
        <v>234</v>
      </c>
    </row>
    <row r="2" ht="21" customHeight="1" spans="2:6">
      <c r="B2" s="1" t="s">
        <v>24</v>
      </c>
      <c r="C2" t="s">
        <v>27</v>
      </c>
      <c r="D2" t="s">
        <v>235</v>
      </c>
      <c r="E2" t="s">
        <v>236</v>
      </c>
      <c r="F2" t="s">
        <v>237</v>
      </c>
    </row>
    <row r="3" ht="45" customHeight="1" spans="2:6">
      <c r="B3" s="2">
        <v>1</v>
      </c>
      <c r="C3" s="2" t="s">
        <v>238</v>
      </c>
      <c r="D3" s="2">
        <v>5</v>
      </c>
      <c r="E3" s="3">
        <f>D3/$D$7</f>
        <v>0.2</v>
      </c>
      <c r="F3" s="2" t="s">
        <v>239</v>
      </c>
    </row>
    <row r="4" ht="45" customHeight="1" spans="2:6">
      <c r="B4" s="2">
        <v>2</v>
      </c>
      <c r="C4" s="2" t="s">
        <v>48</v>
      </c>
      <c r="D4" s="2">
        <v>5</v>
      </c>
      <c r="E4" s="3">
        <f>D4/$D$7</f>
        <v>0.2</v>
      </c>
      <c r="F4" s="2" t="s">
        <v>240</v>
      </c>
    </row>
    <row r="5" ht="45" customHeight="1" spans="2:6">
      <c r="B5" s="2">
        <v>3</v>
      </c>
      <c r="C5" s="2" t="s">
        <v>59</v>
      </c>
      <c r="D5" s="2">
        <v>10</v>
      </c>
      <c r="E5" s="3">
        <f>D5/$D$7</f>
        <v>0.4</v>
      </c>
      <c r="F5" s="2" t="s">
        <v>241</v>
      </c>
    </row>
    <row r="6" ht="45" customHeight="1" spans="2:6">
      <c r="B6" s="2">
        <v>4</v>
      </c>
      <c r="C6" s="2" t="s">
        <v>242</v>
      </c>
      <c r="D6" s="2">
        <v>5</v>
      </c>
      <c r="E6" s="3">
        <f>D6/$D$7</f>
        <v>0.2</v>
      </c>
      <c r="F6" s="2" t="s">
        <v>243</v>
      </c>
    </row>
    <row r="7" ht="27.6" customHeight="1" spans="2:6">
      <c r="B7" s="4" t="s">
        <v>244</v>
      </c>
      <c r="C7" s="4" t="s">
        <v>245</v>
      </c>
      <c r="D7" s="4">
        <f>SUM(D3:D6)</f>
        <v>25</v>
      </c>
      <c r="E7" s="5">
        <f>SUM(E3:E6)</f>
        <v>1</v>
      </c>
      <c r="F7" s="4" t="s">
        <v>246</v>
      </c>
    </row>
    <row r="8" ht="27.6" customHeight="1" spans="2:6">
      <c r="B8" s="6"/>
      <c r="C8" s="7"/>
      <c r="D8" s="6"/>
      <c r="E8" s="6"/>
      <c r="F8" s="7"/>
    </row>
    <row r="9" ht="32" customHeight="1" spans="2:6">
      <c r="B9" s="8" t="s">
        <v>247</v>
      </c>
      <c r="C9" s="9"/>
      <c r="D9" s="10"/>
      <c r="E9" s="10"/>
      <c r="F9" s="9"/>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Cover</vt:lpstr>
      <vt:lpstr>Test Case List</vt:lpstr>
      <vt:lpstr>Test Design</vt:lpstr>
      <vt:lpstr>TC_Chức Năng 1</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Assignment 6 - Gmail Inbox Layout, Density &amp; Reading Pane</dc:title>
  <dc:subject>Test Design và Test Case chi tiết cho Chức năng 1</dc:subject>
  <dc:creator>Trương Phúc Nên</dc:creator>
  <cp:lastModifiedBy>Nên Trương</cp:lastModifiedBy>
  <dcterms:created xsi:type="dcterms:W3CDTF">2026-10-22T16:12:00Z</dcterms:created>
  <dcterms:modified xsi:type="dcterms:W3CDTF">2026-10-23T13:06:06Z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A51196357FDD480EBBD82E1FC964CDD4_12</vt:lpwstr>
  </property>
  <property fmtid="{D5CDD505-2E9C-101B-9397-08002B2CF9AE}" pid="3" name="KSOProductBuildVer">
    <vt:lpwstr>1033-12.1.0.29162</vt:lpwstr>
  </property>
  <property fmtid="{D5CDD505-2E9C-101B-9397-08002B2CF9AE}" pid="4" name="CalculationRule">
    <vt:i4>0</vt:i4>
  </property>
</Properties>
</file>